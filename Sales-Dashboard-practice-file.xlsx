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3D9588AA-6BDC-4C00-8146-C5E08F547B4D}" xr6:coauthVersionLast="47" xr6:coauthVersionMax="47" xr10:uidLastSave="{00000000-0000-0000-0000-000000000000}"/>
  <bookViews>
    <workbookView xWindow="-108" yWindow="-108" windowWidth="23256" windowHeight="12456" xr2:uid="{0A0D8D68-EFC2-4074-BDCA-85DAF874A3F1}"/>
  </bookViews>
  <sheets>
    <sheet name="Input Data (2)" sheetId="4" r:id="rId1"/>
    <sheet name="Input Data" sheetId="2" r:id="rId2"/>
    <sheet name="Input_data" sheetId="3" r:id="rId3"/>
    <sheet name="Master Data" sheetId="1" r:id="rId4"/>
  </sheets>
  <definedNames>
    <definedName name="Category">OFFSET(#REF!,1,0,COUNT(#REF!))</definedName>
    <definedName name="CategoryRange">OFFSET(#REF!,1,1,COUNT(#REF!))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4" l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M3" i="4"/>
  <c r="M54" i="4"/>
  <c r="M157" i="4"/>
  <c r="M207" i="4"/>
  <c r="M245" i="4"/>
  <c r="M270" i="4"/>
  <c r="M295" i="4"/>
  <c r="M315" i="4"/>
  <c r="M335" i="4"/>
  <c r="M355" i="4"/>
  <c r="M398" i="4"/>
  <c r="M438" i="4"/>
  <c r="M479" i="4"/>
  <c r="M501" i="4"/>
  <c r="M519" i="4"/>
  <c r="L14" i="4"/>
  <c r="L32" i="4"/>
  <c r="L55" i="4"/>
  <c r="L76" i="4"/>
  <c r="L94" i="4"/>
  <c r="L111" i="4"/>
  <c r="L127" i="4"/>
  <c r="L162" i="4"/>
  <c r="L174" i="4"/>
  <c r="L199" i="4"/>
  <c r="L213" i="4"/>
  <c r="L226" i="4"/>
  <c r="L238" i="4"/>
  <c r="L263" i="4"/>
  <c r="L277" i="4"/>
  <c r="L290" i="4"/>
  <c r="L302" i="4"/>
  <c r="L327" i="4"/>
  <c r="L341" i="4"/>
  <c r="L354" i="4"/>
  <c r="L366" i="4"/>
  <c r="L391" i="4"/>
  <c r="L404" i="4"/>
  <c r="L414" i="4"/>
  <c r="L425" i="4"/>
  <c r="L433" i="4"/>
  <c r="L441" i="4"/>
  <c r="L449" i="4"/>
  <c r="L457" i="4"/>
  <c r="L465" i="4"/>
  <c r="L473" i="4"/>
  <c r="L481" i="4"/>
  <c r="L489" i="4"/>
  <c r="L497" i="4"/>
  <c r="L505" i="4"/>
  <c r="L513" i="4"/>
  <c r="L521" i="4"/>
  <c r="K2" i="4"/>
  <c r="M2" i="4" s="1"/>
  <c r="K3" i="4"/>
  <c r="K4" i="4"/>
  <c r="M4" i="4" s="1"/>
  <c r="K5" i="4"/>
  <c r="M5" i="4" s="1"/>
  <c r="K6" i="4"/>
  <c r="M6" i="4" s="1"/>
  <c r="K7" i="4"/>
  <c r="M7" i="4" s="1"/>
  <c r="K8" i="4"/>
  <c r="M8" i="4" s="1"/>
  <c r="K9" i="4"/>
  <c r="M9" i="4" s="1"/>
  <c r="K10" i="4"/>
  <c r="M10" i="4" s="1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M17" i="4" s="1"/>
  <c r="K18" i="4"/>
  <c r="M18" i="4" s="1"/>
  <c r="K19" i="4"/>
  <c r="M19" i="4" s="1"/>
  <c r="K20" i="4"/>
  <c r="M20" i="4" s="1"/>
  <c r="K21" i="4"/>
  <c r="M21" i="4" s="1"/>
  <c r="K22" i="4"/>
  <c r="M22" i="4" s="1"/>
  <c r="K23" i="4"/>
  <c r="M23" i="4" s="1"/>
  <c r="K24" i="4"/>
  <c r="M24" i="4" s="1"/>
  <c r="K25" i="4"/>
  <c r="M25" i="4" s="1"/>
  <c r="K26" i="4"/>
  <c r="M26" i="4" s="1"/>
  <c r="K27" i="4"/>
  <c r="M27" i="4" s="1"/>
  <c r="K28" i="4"/>
  <c r="M28" i="4" s="1"/>
  <c r="K29" i="4"/>
  <c r="M29" i="4" s="1"/>
  <c r="K30" i="4"/>
  <c r="M30" i="4" s="1"/>
  <c r="K31" i="4"/>
  <c r="M31" i="4" s="1"/>
  <c r="K32" i="4"/>
  <c r="M32" i="4" s="1"/>
  <c r="K33" i="4"/>
  <c r="M33" i="4" s="1"/>
  <c r="K34" i="4"/>
  <c r="M34" i="4" s="1"/>
  <c r="K35" i="4"/>
  <c r="M35" i="4" s="1"/>
  <c r="K36" i="4"/>
  <c r="M36" i="4" s="1"/>
  <c r="K37" i="4"/>
  <c r="M37" i="4" s="1"/>
  <c r="K38" i="4"/>
  <c r="M38" i="4" s="1"/>
  <c r="K39" i="4"/>
  <c r="M39" i="4" s="1"/>
  <c r="K40" i="4"/>
  <c r="M40" i="4" s="1"/>
  <c r="K41" i="4"/>
  <c r="M41" i="4" s="1"/>
  <c r="K42" i="4"/>
  <c r="M42" i="4" s="1"/>
  <c r="K43" i="4"/>
  <c r="M43" i="4" s="1"/>
  <c r="K44" i="4"/>
  <c r="M44" i="4" s="1"/>
  <c r="K45" i="4"/>
  <c r="M45" i="4" s="1"/>
  <c r="K46" i="4"/>
  <c r="M46" i="4" s="1"/>
  <c r="K47" i="4"/>
  <c r="M47" i="4" s="1"/>
  <c r="K48" i="4"/>
  <c r="M48" i="4" s="1"/>
  <c r="K49" i="4"/>
  <c r="M49" i="4" s="1"/>
  <c r="K50" i="4"/>
  <c r="M50" i="4" s="1"/>
  <c r="K51" i="4"/>
  <c r="M51" i="4" s="1"/>
  <c r="K52" i="4"/>
  <c r="M52" i="4" s="1"/>
  <c r="K53" i="4"/>
  <c r="M53" i="4" s="1"/>
  <c r="K54" i="4"/>
  <c r="K55" i="4"/>
  <c r="M55" i="4" s="1"/>
  <c r="K56" i="4"/>
  <c r="M56" i="4" s="1"/>
  <c r="K57" i="4"/>
  <c r="M57" i="4" s="1"/>
  <c r="K58" i="4"/>
  <c r="M58" i="4" s="1"/>
  <c r="K59" i="4"/>
  <c r="M59" i="4" s="1"/>
  <c r="K60" i="4"/>
  <c r="M60" i="4" s="1"/>
  <c r="K61" i="4"/>
  <c r="M61" i="4" s="1"/>
  <c r="K62" i="4"/>
  <c r="M62" i="4" s="1"/>
  <c r="K63" i="4"/>
  <c r="M63" i="4" s="1"/>
  <c r="K64" i="4"/>
  <c r="M64" i="4" s="1"/>
  <c r="K65" i="4"/>
  <c r="M65" i="4" s="1"/>
  <c r="K66" i="4"/>
  <c r="M66" i="4" s="1"/>
  <c r="K67" i="4"/>
  <c r="M67" i="4" s="1"/>
  <c r="K68" i="4"/>
  <c r="M68" i="4" s="1"/>
  <c r="K69" i="4"/>
  <c r="M69" i="4" s="1"/>
  <c r="K70" i="4"/>
  <c r="M70" i="4" s="1"/>
  <c r="K71" i="4"/>
  <c r="M71" i="4" s="1"/>
  <c r="K72" i="4"/>
  <c r="M72" i="4" s="1"/>
  <c r="K73" i="4"/>
  <c r="M73" i="4" s="1"/>
  <c r="K74" i="4"/>
  <c r="M74" i="4" s="1"/>
  <c r="K75" i="4"/>
  <c r="M75" i="4" s="1"/>
  <c r="K76" i="4"/>
  <c r="M76" i="4" s="1"/>
  <c r="K77" i="4"/>
  <c r="M77" i="4" s="1"/>
  <c r="K78" i="4"/>
  <c r="M78" i="4" s="1"/>
  <c r="K79" i="4"/>
  <c r="M79" i="4" s="1"/>
  <c r="K80" i="4"/>
  <c r="M80" i="4" s="1"/>
  <c r="K81" i="4"/>
  <c r="M81" i="4" s="1"/>
  <c r="K82" i="4"/>
  <c r="M82" i="4" s="1"/>
  <c r="K83" i="4"/>
  <c r="M83" i="4" s="1"/>
  <c r="K84" i="4"/>
  <c r="M84" i="4" s="1"/>
  <c r="K85" i="4"/>
  <c r="M85" i="4" s="1"/>
  <c r="K86" i="4"/>
  <c r="M86" i="4" s="1"/>
  <c r="K87" i="4"/>
  <c r="M87" i="4" s="1"/>
  <c r="K88" i="4"/>
  <c r="M88" i="4" s="1"/>
  <c r="K89" i="4"/>
  <c r="M89" i="4" s="1"/>
  <c r="K90" i="4"/>
  <c r="M90" i="4" s="1"/>
  <c r="K91" i="4"/>
  <c r="M91" i="4" s="1"/>
  <c r="K92" i="4"/>
  <c r="M92" i="4" s="1"/>
  <c r="K93" i="4"/>
  <c r="M93" i="4" s="1"/>
  <c r="K94" i="4"/>
  <c r="M94" i="4" s="1"/>
  <c r="K95" i="4"/>
  <c r="M95" i="4" s="1"/>
  <c r="K96" i="4"/>
  <c r="M96" i="4" s="1"/>
  <c r="K97" i="4"/>
  <c r="M97" i="4" s="1"/>
  <c r="K98" i="4"/>
  <c r="M98" i="4" s="1"/>
  <c r="K99" i="4"/>
  <c r="M99" i="4" s="1"/>
  <c r="K100" i="4"/>
  <c r="M100" i="4" s="1"/>
  <c r="K101" i="4"/>
  <c r="M101" i="4" s="1"/>
  <c r="K102" i="4"/>
  <c r="M102" i="4" s="1"/>
  <c r="K103" i="4"/>
  <c r="M103" i="4" s="1"/>
  <c r="K104" i="4"/>
  <c r="M104" i="4" s="1"/>
  <c r="K105" i="4"/>
  <c r="M105" i="4" s="1"/>
  <c r="K106" i="4"/>
  <c r="M106" i="4" s="1"/>
  <c r="K107" i="4"/>
  <c r="M107" i="4" s="1"/>
  <c r="K108" i="4"/>
  <c r="M108" i="4" s="1"/>
  <c r="K109" i="4"/>
  <c r="M109" i="4" s="1"/>
  <c r="K110" i="4"/>
  <c r="M110" i="4" s="1"/>
  <c r="K111" i="4"/>
  <c r="M111" i="4" s="1"/>
  <c r="K112" i="4"/>
  <c r="M112" i="4" s="1"/>
  <c r="K113" i="4"/>
  <c r="M113" i="4" s="1"/>
  <c r="K114" i="4"/>
  <c r="M114" i="4" s="1"/>
  <c r="K115" i="4"/>
  <c r="M115" i="4" s="1"/>
  <c r="K116" i="4"/>
  <c r="M116" i="4" s="1"/>
  <c r="K117" i="4"/>
  <c r="M117" i="4" s="1"/>
  <c r="K118" i="4"/>
  <c r="M118" i="4" s="1"/>
  <c r="K119" i="4"/>
  <c r="M119" i="4" s="1"/>
  <c r="K120" i="4"/>
  <c r="M120" i="4" s="1"/>
  <c r="K121" i="4"/>
  <c r="M121" i="4" s="1"/>
  <c r="K122" i="4"/>
  <c r="M122" i="4" s="1"/>
  <c r="K123" i="4"/>
  <c r="M123" i="4" s="1"/>
  <c r="K124" i="4"/>
  <c r="M124" i="4" s="1"/>
  <c r="K125" i="4"/>
  <c r="M125" i="4" s="1"/>
  <c r="K126" i="4"/>
  <c r="M126" i="4" s="1"/>
  <c r="K127" i="4"/>
  <c r="M127" i="4" s="1"/>
  <c r="K128" i="4"/>
  <c r="M128" i="4" s="1"/>
  <c r="K129" i="4"/>
  <c r="M129" i="4" s="1"/>
  <c r="K130" i="4"/>
  <c r="M130" i="4" s="1"/>
  <c r="K131" i="4"/>
  <c r="M131" i="4" s="1"/>
  <c r="K132" i="4"/>
  <c r="M132" i="4" s="1"/>
  <c r="K133" i="4"/>
  <c r="M133" i="4" s="1"/>
  <c r="K134" i="4"/>
  <c r="M134" i="4" s="1"/>
  <c r="K135" i="4"/>
  <c r="M135" i="4" s="1"/>
  <c r="K136" i="4"/>
  <c r="M136" i="4" s="1"/>
  <c r="K137" i="4"/>
  <c r="M137" i="4" s="1"/>
  <c r="K138" i="4"/>
  <c r="M138" i="4" s="1"/>
  <c r="K139" i="4"/>
  <c r="M139" i="4" s="1"/>
  <c r="K140" i="4"/>
  <c r="M140" i="4" s="1"/>
  <c r="K141" i="4"/>
  <c r="M141" i="4" s="1"/>
  <c r="K142" i="4"/>
  <c r="M142" i="4" s="1"/>
  <c r="K143" i="4"/>
  <c r="M143" i="4" s="1"/>
  <c r="K144" i="4"/>
  <c r="M144" i="4" s="1"/>
  <c r="K145" i="4"/>
  <c r="M145" i="4" s="1"/>
  <c r="K146" i="4"/>
  <c r="M146" i="4" s="1"/>
  <c r="K147" i="4"/>
  <c r="M147" i="4" s="1"/>
  <c r="K148" i="4"/>
  <c r="M148" i="4" s="1"/>
  <c r="K149" i="4"/>
  <c r="M149" i="4" s="1"/>
  <c r="K150" i="4"/>
  <c r="M150" i="4" s="1"/>
  <c r="K151" i="4"/>
  <c r="M151" i="4" s="1"/>
  <c r="K152" i="4"/>
  <c r="M152" i="4" s="1"/>
  <c r="K153" i="4"/>
  <c r="M153" i="4" s="1"/>
  <c r="K154" i="4"/>
  <c r="M154" i="4" s="1"/>
  <c r="K155" i="4"/>
  <c r="M155" i="4" s="1"/>
  <c r="K156" i="4"/>
  <c r="M156" i="4" s="1"/>
  <c r="K157" i="4"/>
  <c r="K158" i="4"/>
  <c r="M158" i="4" s="1"/>
  <c r="K159" i="4"/>
  <c r="M159" i="4" s="1"/>
  <c r="K160" i="4"/>
  <c r="M160" i="4" s="1"/>
  <c r="K161" i="4"/>
  <c r="M161" i="4" s="1"/>
  <c r="K162" i="4"/>
  <c r="M162" i="4" s="1"/>
  <c r="K163" i="4"/>
  <c r="M163" i="4" s="1"/>
  <c r="K164" i="4"/>
  <c r="M164" i="4" s="1"/>
  <c r="K165" i="4"/>
  <c r="M165" i="4" s="1"/>
  <c r="K166" i="4"/>
  <c r="M166" i="4" s="1"/>
  <c r="K167" i="4"/>
  <c r="M167" i="4" s="1"/>
  <c r="K168" i="4"/>
  <c r="M168" i="4" s="1"/>
  <c r="K169" i="4"/>
  <c r="M169" i="4" s="1"/>
  <c r="K170" i="4"/>
  <c r="M170" i="4" s="1"/>
  <c r="K171" i="4"/>
  <c r="M171" i="4" s="1"/>
  <c r="K172" i="4"/>
  <c r="M172" i="4" s="1"/>
  <c r="K173" i="4"/>
  <c r="M173" i="4" s="1"/>
  <c r="K174" i="4"/>
  <c r="M174" i="4" s="1"/>
  <c r="K175" i="4"/>
  <c r="M175" i="4" s="1"/>
  <c r="K176" i="4"/>
  <c r="M176" i="4" s="1"/>
  <c r="K177" i="4"/>
  <c r="M177" i="4" s="1"/>
  <c r="K178" i="4"/>
  <c r="M178" i="4" s="1"/>
  <c r="K179" i="4"/>
  <c r="M179" i="4" s="1"/>
  <c r="K180" i="4"/>
  <c r="M180" i="4" s="1"/>
  <c r="K181" i="4"/>
  <c r="M181" i="4" s="1"/>
  <c r="K182" i="4"/>
  <c r="M182" i="4" s="1"/>
  <c r="K183" i="4"/>
  <c r="M183" i="4" s="1"/>
  <c r="K184" i="4"/>
  <c r="M184" i="4" s="1"/>
  <c r="K185" i="4"/>
  <c r="M185" i="4" s="1"/>
  <c r="K186" i="4"/>
  <c r="M186" i="4" s="1"/>
  <c r="K187" i="4"/>
  <c r="M187" i="4" s="1"/>
  <c r="K188" i="4"/>
  <c r="M188" i="4" s="1"/>
  <c r="K189" i="4"/>
  <c r="M189" i="4" s="1"/>
  <c r="K190" i="4"/>
  <c r="M190" i="4" s="1"/>
  <c r="K191" i="4"/>
  <c r="M191" i="4" s="1"/>
  <c r="K192" i="4"/>
  <c r="M192" i="4" s="1"/>
  <c r="K193" i="4"/>
  <c r="M193" i="4" s="1"/>
  <c r="K194" i="4"/>
  <c r="M194" i="4" s="1"/>
  <c r="K195" i="4"/>
  <c r="M195" i="4" s="1"/>
  <c r="K196" i="4"/>
  <c r="M196" i="4" s="1"/>
  <c r="K197" i="4"/>
  <c r="M197" i="4" s="1"/>
  <c r="K198" i="4"/>
  <c r="M198" i="4" s="1"/>
  <c r="K199" i="4"/>
  <c r="M199" i="4" s="1"/>
  <c r="K200" i="4"/>
  <c r="M200" i="4" s="1"/>
  <c r="K201" i="4"/>
  <c r="M201" i="4" s="1"/>
  <c r="K202" i="4"/>
  <c r="M202" i="4" s="1"/>
  <c r="K203" i="4"/>
  <c r="M203" i="4" s="1"/>
  <c r="K204" i="4"/>
  <c r="M204" i="4" s="1"/>
  <c r="K205" i="4"/>
  <c r="M205" i="4" s="1"/>
  <c r="K206" i="4"/>
  <c r="M206" i="4" s="1"/>
  <c r="K207" i="4"/>
  <c r="K208" i="4"/>
  <c r="M208" i="4" s="1"/>
  <c r="K209" i="4"/>
  <c r="M209" i="4" s="1"/>
  <c r="K210" i="4"/>
  <c r="M210" i="4" s="1"/>
  <c r="K211" i="4"/>
  <c r="M211" i="4" s="1"/>
  <c r="K212" i="4"/>
  <c r="M212" i="4" s="1"/>
  <c r="K213" i="4"/>
  <c r="M213" i="4" s="1"/>
  <c r="K214" i="4"/>
  <c r="M214" i="4" s="1"/>
  <c r="K215" i="4"/>
  <c r="M215" i="4" s="1"/>
  <c r="K216" i="4"/>
  <c r="M216" i="4" s="1"/>
  <c r="K217" i="4"/>
  <c r="M217" i="4" s="1"/>
  <c r="K218" i="4"/>
  <c r="M218" i="4" s="1"/>
  <c r="K219" i="4"/>
  <c r="M219" i="4" s="1"/>
  <c r="K220" i="4"/>
  <c r="M220" i="4" s="1"/>
  <c r="K221" i="4"/>
  <c r="M221" i="4" s="1"/>
  <c r="K222" i="4"/>
  <c r="M222" i="4" s="1"/>
  <c r="K223" i="4"/>
  <c r="M223" i="4" s="1"/>
  <c r="K224" i="4"/>
  <c r="M224" i="4" s="1"/>
  <c r="K225" i="4"/>
  <c r="M225" i="4" s="1"/>
  <c r="K226" i="4"/>
  <c r="M226" i="4" s="1"/>
  <c r="K227" i="4"/>
  <c r="M227" i="4" s="1"/>
  <c r="K228" i="4"/>
  <c r="M228" i="4" s="1"/>
  <c r="K229" i="4"/>
  <c r="M229" i="4" s="1"/>
  <c r="K230" i="4"/>
  <c r="M230" i="4" s="1"/>
  <c r="K231" i="4"/>
  <c r="M231" i="4" s="1"/>
  <c r="K232" i="4"/>
  <c r="M232" i="4" s="1"/>
  <c r="K233" i="4"/>
  <c r="M233" i="4" s="1"/>
  <c r="K234" i="4"/>
  <c r="M234" i="4" s="1"/>
  <c r="K235" i="4"/>
  <c r="M235" i="4" s="1"/>
  <c r="K236" i="4"/>
  <c r="M236" i="4" s="1"/>
  <c r="K237" i="4"/>
  <c r="M237" i="4" s="1"/>
  <c r="K238" i="4"/>
  <c r="M238" i="4" s="1"/>
  <c r="K239" i="4"/>
  <c r="M239" i="4" s="1"/>
  <c r="K240" i="4"/>
  <c r="M240" i="4" s="1"/>
  <c r="K241" i="4"/>
  <c r="M241" i="4" s="1"/>
  <c r="K242" i="4"/>
  <c r="M242" i="4" s="1"/>
  <c r="K243" i="4"/>
  <c r="M243" i="4" s="1"/>
  <c r="K244" i="4"/>
  <c r="M244" i="4" s="1"/>
  <c r="K245" i="4"/>
  <c r="K246" i="4"/>
  <c r="M246" i="4" s="1"/>
  <c r="K247" i="4"/>
  <c r="M247" i="4" s="1"/>
  <c r="K248" i="4"/>
  <c r="M248" i="4" s="1"/>
  <c r="K249" i="4"/>
  <c r="M249" i="4" s="1"/>
  <c r="K250" i="4"/>
  <c r="M250" i="4" s="1"/>
  <c r="K251" i="4"/>
  <c r="M251" i="4" s="1"/>
  <c r="K252" i="4"/>
  <c r="M252" i="4" s="1"/>
  <c r="K253" i="4"/>
  <c r="M253" i="4" s="1"/>
  <c r="K254" i="4"/>
  <c r="M254" i="4" s="1"/>
  <c r="K255" i="4"/>
  <c r="M255" i="4" s="1"/>
  <c r="K256" i="4"/>
  <c r="M256" i="4" s="1"/>
  <c r="K257" i="4"/>
  <c r="M257" i="4" s="1"/>
  <c r="K258" i="4"/>
  <c r="M258" i="4" s="1"/>
  <c r="K259" i="4"/>
  <c r="M259" i="4" s="1"/>
  <c r="K260" i="4"/>
  <c r="M260" i="4" s="1"/>
  <c r="K261" i="4"/>
  <c r="M261" i="4" s="1"/>
  <c r="K262" i="4"/>
  <c r="M262" i="4" s="1"/>
  <c r="K263" i="4"/>
  <c r="M263" i="4" s="1"/>
  <c r="K264" i="4"/>
  <c r="M264" i="4" s="1"/>
  <c r="K265" i="4"/>
  <c r="M265" i="4" s="1"/>
  <c r="K266" i="4"/>
  <c r="M266" i="4" s="1"/>
  <c r="K267" i="4"/>
  <c r="M267" i="4" s="1"/>
  <c r="K268" i="4"/>
  <c r="M268" i="4" s="1"/>
  <c r="K269" i="4"/>
  <c r="M269" i="4" s="1"/>
  <c r="K270" i="4"/>
  <c r="K271" i="4"/>
  <c r="M271" i="4" s="1"/>
  <c r="K272" i="4"/>
  <c r="M272" i="4" s="1"/>
  <c r="K273" i="4"/>
  <c r="M273" i="4" s="1"/>
  <c r="K274" i="4"/>
  <c r="M274" i="4" s="1"/>
  <c r="K275" i="4"/>
  <c r="M275" i="4" s="1"/>
  <c r="K276" i="4"/>
  <c r="M276" i="4" s="1"/>
  <c r="K277" i="4"/>
  <c r="M277" i="4" s="1"/>
  <c r="K278" i="4"/>
  <c r="M278" i="4" s="1"/>
  <c r="K279" i="4"/>
  <c r="M279" i="4" s="1"/>
  <c r="K280" i="4"/>
  <c r="M280" i="4" s="1"/>
  <c r="K281" i="4"/>
  <c r="M281" i="4" s="1"/>
  <c r="K282" i="4"/>
  <c r="M282" i="4" s="1"/>
  <c r="K283" i="4"/>
  <c r="M283" i="4" s="1"/>
  <c r="K284" i="4"/>
  <c r="M284" i="4" s="1"/>
  <c r="K285" i="4"/>
  <c r="M285" i="4" s="1"/>
  <c r="K286" i="4"/>
  <c r="M286" i="4" s="1"/>
  <c r="K287" i="4"/>
  <c r="M287" i="4" s="1"/>
  <c r="K288" i="4"/>
  <c r="M288" i="4" s="1"/>
  <c r="K289" i="4"/>
  <c r="M289" i="4" s="1"/>
  <c r="K290" i="4"/>
  <c r="M290" i="4" s="1"/>
  <c r="K291" i="4"/>
  <c r="M291" i="4" s="1"/>
  <c r="K292" i="4"/>
  <c r="M292" i="4" s="1"/>
  <c r="K293" i="4"/>
  <c r="M293" i="4" s="1"/>
  <c r="K294" i="4"/>
  <c r="M294" i="4" s="1"/>
  <c r="K295" i="4"/>
  <c r="K296" i="4"/>
  <c r="M296" i="4" s="1"/>
  <c r="K297" i="4"/>
  <c r="M297" i="4" s="1"/>
  <c r="K298" i="4"/>
  <c r="M298" i="4" s="1"/>
  <c r="K299" i="4"/>
  <c r="M299" i="4" s="1"/>
  <c r="K300" i="4"/>
  <c r="M300" i="4" s="1"/>
  <c r="K301" i="4"/>
  <c r="M301" i="4" s="1"/>
  <c r="K302" i="4"/>
  <c r="M302" i="4" s="1"/>
  <c r="K303" i="4"/>
  <c r="M303" i="4" s="1"/>
  <c r="K304" i="4"/>
  <c r="M304" i="4" s="1"/>
  <c r="K305" i="4"/>
  <c r="M305" i="4" s="1"/>
  <c r="K306" i="4"/>
  <c r="M306" i="4" s="1"/>
  <c r="K307" i="4"/>
  <c r="M307" i="4" s="1"/>
  <c r="K308" i="4"/>
  <c r="M308" i="4" s="1"/>
  <c r="K309" i="4"/>
  <c r="M309" i="4" s="1"/>
  <c r="K310" i="4"/>
  <c r="M310" i="4" s="1"/>
  <c r="K311" i="4"/>
  <c r="M311" i="4" s="1"/>
  <c r="K312" i="4"/>
  <c r="M312" i="4" s="1"/>
  <c r="K313" i="4"/>
  <c r="M313" i="4" s="1"/>
  <c r="K314" i="4"/>
  <c r="M314" i="4" s="1"/>
  <c r="K315" i="4"/>
  <c r="K316" i="4"/>
  <c r="M316" i="4" s="1"/>
  <c r="K317" i="4"/>
  <c r="M317" i="4" s="1"/>
  <c r="K318" i="4"/>
  <c r="M318" i="4" s="1"/>
  <c r="K319" i="4"/>
  <c r="M319" i="4" s="1"/>
  <c r="K320" i="4"/>
  <c r="M320" i="4" s="1"/>
  <c r="K321" i="4"/>
  <c r="M321" i="4" s="1"/>
  <c r="K322" i="4"/>
  <c r="M322" i="4" s="1"/>
  <c r="K323" i="4"/>
  <c r="M323" i="4" s="1"/>
  <c r="K324" i="4"/>
  <c r="M324" i="4" s="1"/>
  <c r="K325" i="4"/>
  <c r="M325" i="4" s="1"/>
  <c r="K326" i="4"/>
  <c r="M326" i="4" s="1"/>
  <c r="K327" i="4"/>
  <c r="M327" i="4" s="1"/>
  <c r="K328" i="4"/>
  <c r="M328" i="4" s="1"/>
  <c r="K329" i="4"/>
  <c r="M329" i="4" s="1"/>
  <c r="K330" i="4"/>
  <c r="M330" i="4" s="1"/>
  <c r="K331" i="4"/>
  <c r="M331" i="4" s="1"/>
  <c r="K332" i="4"/>
  <c r="M332" i="4" s="1"/>
  <c r="K333" i="4"/>
  <c r="M333" i="4" s="1"/>
  <c r="K334" i="4"/>
  <c r="M334" i="4" s="1"/>
  <c r="K335" i="4"/>
  <c r="K336" i="4"/>
  <c r="M336" i="4" s="1"/>
  <c r="K337" i="4"/>
  <c r="M337" i="4" s="1"/>
  <c r="K338" i="4"/>
  <c r="M338" i="4" s="1"/>
  <c r="K339" i="4"/>
  <c r="M339" i="4" s="1"/>
  <c r="K340" i="4"/>
  <c r="M340" i="4" s="1"/>
  <c r="K341" i="4"/>
  <c r="M341" i="4" s="1"/>
  <c r="K342" i="4"/>
  <c r="M342" i="4" s="1"/>
  <c r="K343" i="4"/>
  <c r="M343" i="4" s="1"/>
  <c r="K344" i="4"/>
  <c r="M344" i="4" s="1"/>
  <c r="K345" i="4"/>
  <c r="M345" i="4" s="1"/>
  <c r="K346" i="4"/>
  <c r="M346" i="4" s="1"/>
  <c r="K347" i="4"/>
  <c r="M347" i="4" s="1"/>
  <c r="K348" i="4"/>
  <c r="M348" i="4" s="1"/>
  <c r="K349" i="4"/>
  <c r="M349" i="4" s="1"/>
  <c r="K350" i="4"/>
  <c r="M350" i="4" s="1"/>
  <c r="K351" i="4"/>
  <c r="M351" i="4" s="1"/>
  <c r="K352" i="4"/>
  <c r="M352" i="4" s="1"/>
  <c r="K353" i="4"/>
  <c r="M353" i="4" s="1"/>
  <c r="K354" i="4"/>
  <c r="M354" i="4" s="1"/>
  <c r="K355" i="4"/>
  <c r="K356" i="4"/>
  <c r="M356" i="4" s="1"/>
  <c r="K357" i="4"/>
  <c r="M357" i="4" s="1"/>
  <c r="K358" i="4"/>
  <c r="M358" i="4" s="1"/>
  <c r="K359" i="4"/>
  <c r="M359" i="4" s="1"/>
  <c r="K360" i="4"/>
  <c r="M360" i="4" s="1"/>
  <c r="K361" i="4"/>
  <c r="M361" i="4" s="1"/>
  <c r="K362" i="4"/>
  <c r="M362" i="4" s="1"/>
  <c r="K363" i="4"/>
  <c r="M363" i="4" s="1"/>
  <c r="K364" i="4"/>
  <c r="M364" i="4" s="1"/>
  <c r="K365" i="4"/>
  <c r="M365" i="4" s="1"/>
  <c r="K366" i="4"/>
  <c r="M366" i="4" s="1"/>
  <c r="K367" i="4"/>
  <c r="M367" i="4" s="1"/>
  <c r="K368" i="4"/>
  <c r="M368" i="4" s="1"/>
  <c r="K369" i="4"/>
  <c r="M369" i="4" s="1"/>
  <c r="K370" i="4"/>
  <c r="M370" i="4" s="1"/>
  <c r="K371" i="4"/>
  <c r="M371" i="4" s="1"/>
  <c r="K372" i="4"/>
  <c r="M372" i="4" s="1"/>
  <c r="K373" i="4"/>
  <c r="M373" i="4" s="1"/>
  <c r="K374" i="4"/>
  <c r="M374" i="4" s="1"/>
  <c r="K375" i="4"/>
  <c r="M375" i="4" s="1"/>
  <c r="K376" i="4"/>
  <c r="M376" i="4" s="1"/>
  <c r="K377" i="4"/>
  <c r="M377" i="4" s="1"/>
  <c r="K378" i="4"/>
  <c r="M378" i="4" s="1"/>
  <c r="K379" i="4"/>
  <c r="M379" i="4" s="1"/>
  <c r="K380" i="4"/>
  <c r="M380" i="4" s="1"/>
  <c r="K381" i="4"/>
  <c r="M381" i="4" s="1"/>
  <c r="K382" i="4"/>
  <c r="M382" i="4" s="1"/>
  <c r="K383" i="4"/>
  <c r="M383" i="4" s="1"/>
  <c r="K384" i="4"/>
  <c r="M384" i="4" s="1"/>
  <c r="K385" i="4"/>
  <c r="M385" i="4" s="1"/>
  <c r="K386" i="4"/>
  <c r="M386" i="4" s="1"/>
  <c r="K387" i="4"/>
  <c r="M387" i="4" s="1"/>
  <c r="K388" i="4"/>
  <c r="M388" i="4" s="1"/>
  <c r="K389" i="4"/>
  <c r="M389" i="4" s="1"/>
  <c r="K390" i="4"/>
  <c r="M390" i="4" s="1"/>
  <c r="K391" i="4"/>
  <c r="M391" i="4" s="1"/>
  <c r="K392" i="4"/>
  <c r="M392" i="4" s="1"/>
  <c r="K393" i="4"/>
  <c r="M393" i="4" s="1"/>
  <c r="K394" i="4"/>
  <c r="M394" i="4" s="1"/>
  <c r="K395" i="4"/>
  <c r="M395" i="4" s="1"/>
  <c r="K396" i="4"/>
  <c r="M396" i="4" s="1"/>
  <c r="K397" i="4"/>
  <c r="M397" i="4" s="1"/>
  <c r="K398" i="4"/>
  <c r="K399" i="4"/>
  <c r="M399" i="4" s="1"/>
  <c r="K400" i="4"/>
  <c r="M400" i="4" s="1"/>
  <c r="K401" i="4"/>
  <c r="M401" i="4" s="1"/>
  <c r="K402" i="4"/>
  <c r="M402" i="4" s="1"/>
  <c r="K403" i="4"/>
  <c r="M403" i="4" s="1"/>
  <c r="K404" i="4"/>
  <c r="M404" i="4" s="1"/>
  <c r="K405" i="4"/>
  <c r="M405" i="4" s="1"/>
  <c r="K406" i="4"/>
  <c r="M406" i="4" s="1"/>
  <c r="K407" i="4"/>
  <c r="M407" i="4" s="1"/>
  <c r="K408" i="4"/>
  <c r="M408" i="4" s="1"/>
  <c r="K409" i="4"/>
  <c r="M409" i="4" s="1"/>
  <c r="K410" i="4"/>
  <c r="M410" i="4" s="1"/>
  <c r="K411" i="4"/>
  <c r="M411" i="4" s="1"/>
  <c r="K412" i="4"/>
  <c r="M412" i="4" s="1"/>
  <c r="K413" i="4"/>
  <c r="M413" i="4" s="1"/>
  <c r="K414" i="4"/>
  <c r="M414" i="4" s="1"/>
  <c r="K415" i="4"/>
  <c r="M415" i="4" s="1"/>
  <c r="K416" i="4"/>
  <c r="M416" i="4" s="1"/>
  <c r="K417" i="4"/>
  <c r="M417" i="4" s="1"/>
  <c r="K418" i="4"/>
  <c r="M418" i="4" s="1"/>
  <c r="K419" i="4"/>
  <c r="M419" i="4" s="1"/>
  <c r="K420" i="4"/>
  <c r="M420" i="4" s="1"/>
  <c r="K421" i="4"/>
  <c r="M421" i="4" s="1"/>
  <c r="K422" i="4"/>
  <c r="M422" i="4" s="1"/>
  <c r="K423" i="4"/>
  <c r="M423" i="4" s="1"/>
  <c r="K424" i="4"/>
  <c r="M424" i="4" s="1"/>
  <c r="K425" i="4"/>
  <c r="M425" i="4" s="1"/>
  <c r="K426" i="4"/>
  <c r="M426" i="4" s="1"/>
  <c r="K427" i="4"/>
  <c r="M427" i="4" s="1"/>
  <c r="K428" i="4"/>
  <c r="M428" i="4" s="1"/>
  <c r="K429" i="4"/>
  <c r="M429" i="4" s="1"/>
  <c r="K430" i="4"/>
  <c r="M430" i="4" s="1"/>
  <c r="K431" i="4"/>
  <c r="M431" i="4" s="1"/>
  <c r="K432" i="4"/>
  <c r="M432" i="4" s="1"/>
  <c r="K433" i="4"/>
  <c r="M433" i="4" s="1"/>
  <c r="K434" i="4"/>
  <c r="M434" i="4" s="1"/>
  <c r="K435" i="4"/>
  <c r="M435" i="4" s="1"/>
  <c r="K436" i="4"/>
  <c r="M436" i="4" s="1"/>
  <c r="K437" i="4"/>
  <c r="M437" i="4" s="1"/>
  <c r="K438" i="4"/>
  <c r="K439" i="4"/>
  <c r="M439" i="4" s="1"/>
  <c r="K440" i="4"/>
  <c r="M440" i="4" s="1"/>
  <c r="K441" i="4"/>
  <c r="M441" i="4" s="1"/>
  <c r="K442" i="4"/>
  <c r="M442" i="4" s="1"/>
  <c r="K443" i="4"/>
  <c r="M443" i="4" s="1"/>
  <c r="K444" i="4"/>
  <c r="M444" i="4" s="1"/>
  <c r="K445" i="4"/>
  <c r="M445" i="4" s="1"/>
  <c r="K446" i="4"/>
  <c r="M446" i="4" s="1"/>
  <c r="K447" i="4"/>
  <c r="M447" i="4" s="1"/>
  <c r="K448" i="4"/>
  <c r="M448" i="4" s="1"/>
  <c r="K449" i="4"/>
  <c r="M449" i="4" s="1"/>
  <c r="K450" i="4"/>
  <c r="M450" i="4" s="1"/>
  <c r="K451" i="4"/>
  <c r="M451" i="4" s="1"/>
  <c r="K452" i="4"/>
  <c r="M452" i="4" s="1"/>
  <c r="K453" i="4"/>
  <c r="M453" i="4" s="1"/>
  <c r="K454" i="4"/>
  <c r="M454" i="4" s="1"/>
  <c r="K455" i="4"/>
  <c r="M455" i="4" s="1"/>
  <c r="K456" i="4"/>
  <c r="M456" i="4" s="1"/>
  <c r="K457" i="4"/>
  <c r="M457" i="4" s="1"/>
  <c r="K458" i="4"/>
  <c r="M458" i="4" s="1"/>
  <c r="K459" i="4"/>
  <c r="M459" i="4" s="1"/>
  <c r="K460" i="4"/>
  <c r="M460" i="4" s="1"/>
  <c r="K461" i="4"/>
  <c r="M461" i="4" s="1"/>
  <c r="K462" i="4"/>
  <c r="M462" i="4" s="1"/>
  <c r="K463" i="4"/>
  <c r="M463" i="4" s="1"/>
  <c r="K464" i="4"/>
  <c r="M464" i="4" s="1"/>
  <c r="K465" i="4"/>
  <c r="M465" i="4" s="1"/>
  <c r="K466" i="4"/>
  <c r="M466" i="4" s="1"/>
  <c r="K467" i="4"/>
  <c r="M467" i="4" s="1"/>
  <c r="K468" i="4"/>
  <c r="M468" i="4" s="1"/>
  <c r="K469" i="4"/>
  <c r="M469" i="4" s="1"/>
  <c r="K470" i="4"/>
  <c r="M470" i="4" s="1"/>
  <c r="K471" i="4"/>
  <c r="M471" i="4" s="1"/>
  <c r="K472" i="4"/>
  <c r="M472" i="4" s="1"/>
  <c r="K473" i="4"/>
  <c r="M473" i="4" s="1"/>
  <c r="K474" i="4"/>
  <c r="M474" i="4" s="1"/>
  <c r="K475" i="4"/>
  <c r="M475" i="4" s="1"/>
  <c r="K476" i="4"/>
  <c r="M476" i="4" s="1"/>
  <c r="K477" i="4"/>
  <c r="M477" i="4" s="1"/>
  <c r="K478" i="4"/>
  <c r="M478" i="4" s="1"/>
  <c r="K479" i="4"/>
  <c r="K480" i="4"/>
  <c r="M480" i="4" s="1"/>
  <c r="K481" i="4"/>
  <c r="M481" i="4" s="1"/>
  <c r="K482" i="4"/>
  <c r="M482" i="4" s="1"/>
  <c r="K483" i="4"/>
  <c r="M483" i="4" s="1"/>
  <c r="K484" i="4"/>
  <c r="M484" i="4" s="1"/>
  <c r="K485" i="4"/>
  <c r="M485" i="4" s="1"/>
  <c r="K486" i="4"/>
  <c r="M486" i="4" s="1"/>
  <c r="K487" i="4"/>
  <c r="M487" i="4" s="1"/>
  <c r="K488" i="4"/>
  <c r="M488" i="4" s="1"/>
  <c r="K489" i="4"/>
  <c r="M489" i="4" s="1"/>
  <c r="K490" i="4"/>
  <c r="M490" i="4" s="1"/>
  <c r="K491" i="4"/>
  <c r="M491" i="4" s="1"/>
  <c r="K492" i="4"/>
  <c r="M492" i="4" s="1"/>
  <c r="K493" i="4"/>
  <c r="M493" i="4" s="1"/>
  <c r="K494" i="4"/>
  <c r="M494" i="4" s="1"/>
  <c r="K495" i="4"/>
  <c r="M495" i="4" s="1"/>
  <c r="K496" i="4"/>
  <c r="M496" i="4" s="1"/>
  <c r="K497" i="4"/>
  <c r="M497" i="4" s="1"/>
  <c r="K498" i="4"/>
  <c r="M498" i="4" s="1"/>
  <c r="K499" i="4"/>
  <c r="M499" i="4" s="1"/>
  <c r="K500" i="4"/>
  <c r="M500" i="4" s="1"/>
  <c r="K501" i="4"/>
  <c r="K502" i="4"/>
  <c r="M502" i="4" s="1"/>
  <c r="K503" i="4"/>
  <c r="M503" i="4" s="1"/>
  <c r="K504" i="4"/>
  <c r="M504" i="4" s="1"/>
  <c r="K505" i="4"/>
  <c r="M505" i="4" s="1"/>
  <c r="K506" i="4"/>
  <c r="M506" i="4" s="1"/>
  <c r="K507" i="4"/>
  <c r="M507" i="4" s="1"/>
  <c r="K508" i="4"/>
  <c r="M508" i="4" s="1"/>
  <c r="K509" i="4"/>
  <c r="M509" i="4" s="1"/>
  <c r="K510" i="4"/>
  <c r="M510" i="4" s="1"/>
  <c r="K511" i="4"/>
  <c r="M511" i="4" s="1"/>
  <c r="K512" i="4"/>
  <c r="M512" i="4" s="1"/>
  <c r="K513" i="4"/>
  <c r="M513" i="4" s="1"/>
  <c r="K514" i="4"/>
  <c r="M514" i="4" s="1"/>
  <c r="K515" i="4"/>
  <c r="M515" i="4" s="1"/>
  <c r="K516" i="4"/>
  <c r="M516" i="4" s="1"/>
  <c r="K517" i="4"/>
  <c r="M517" i="4" s="1"/>
  <c r="K518" i="4"/>
  <c r="M518" i="4" s="1"/>
  <c r="K519" i="4"/>
  <c r="K520" i="4"/>
  <c r="M520" i="4" s="1"/>
  <c r="K521" i="4"/>
  <c r="M521" i="4" s="1"/>
  <c r="K522" i="4"/>
  <c r="M522" i="4" s="1"/>
  <c r="K523" i="4"/>
  <c r="M523" i="4" s="1"/>
  <c r="K524" i="4"/>
  <c r="M524" i="4" s="1"/>
  <c r="K525" i="4"/>
  <c r="M525" i="4" s="1"/>
  <c r="K526" i="4"/>
  <c r="M526" i="4" s="1"/>
  <c r="K527" i="4"/>
  <c r="M527" i="4" s="1"/>
  <c r="K528" i="4"/>
  <c r="M528" i="4" s="1"/>
  <c r="J2" i="4"/>
  <c r="L2" i="4" s="1"/>
  <c r="J3" i="4"/>
  <c r="L3" i="4" s="1"/>
  <c r="J4" i="4"/>
  <c r="L4" i="4" s="1"/>
  <c r="J5" i="4"/>
  <c r="L5" i="4" s="1"/>
  <c r="J6" i="4"/>
  <c r="L6" i="4" s="1"/>
  <c r="J7" i="4"/>
  <c r="L7" i="4" s="1"/>
  <c r="J8" i="4"/>
  <c r="L8" i="4" s="1"/>
  <c r="J9" i="4"/>
  <c r="L9" i="4" s="1"/>
  <c r="J10" i="4"/>
  <c r="L10" i="4" s="1"/>
  <c r="J11" i="4"/>
  <c r="L11" i="4" s="1"/>
  <c r="J12" i="4"/>
  <c r="L12" i="4" s="1"/>
  <c r="J13" i="4"/>
  <c r="L13" i="4" s="1"/>
  <c r="J14" i="4"/>
  <c r="J15" i="4"/>
  <c r="L15" i="4" s="1"/>
  <c r="J16" i="4"/>
  <c r="L16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1" i="4"/>
  <c r="L31" i="4" s="1"/>
  <c r="J32" i="4"/>
  <c r="J33" i="4"/>
  <c r="L33" i="4" s="1"/>
  <c r="J34" i="4"/>
  <c r="L34" i="4" s="1"/>
  <c r="J35" i="4"/>
  <c r="L35" i="4" s="1"/>
  <c r="J36" i="4"/>
  <c r="L36" i="4" s="1"/>
  <c r="J37" i="4"/>
  <c r="L37" i="4" s="1"/>
  <c r="J38" i="4"/>
  <c r="L38" i="4" s="1"/>
  <c r="J39" i="4"/>
  <c r="L39" i="4" s="1"/>
  <c r="J40" i="4"/>
  <c r="L40" i="4" s="1"/>
  <c r="J41" i="4"/>
  <c r="L41" i="4" s="1"/>
  <c r="J42" i="4"/>
  <c r="L42" i="4" s="1"/>
  <c r="J43" i="4"/>
  <c r="L43" i="4" s="1"/>
  <c r="J44" i="4"/>
  <c r="L44" i="4" s="1"/>
  <c r="J45" i="4"/>
  <c r="L45" i="4" s="1"/>
  <c r="J46" i="4"/>
  <c r="L46" i="4" s="1"/>
  <c r="J47" i="4"/>
  <c r="L47" i="4" s="1"/>
  <c r="J48" i="4"/>
  <c r="L48" i="4" s="1"/>
  <c r="J49" i="4"/>
  <c r="L49" i="4" s="1"/>
  <c r="J50" i="4"/>
  <c r="L50" i="4" s="1"/>
  <c r="J51" i="4"/>
  <c r="L51" i="4" s="1"/>
  <c r="J52" i="4"/>
  <c r="L52" i="4" s="1"/>
  <c r="J53" i="4"/>
  <c r="L53" i="4" s="1"/>
  <c r="J54" i="4"/>
  <c r="L54" i="4" s="1"/>
  <c r="J55" i="4"/>
  <c r="J56" i="4"/>
  <c r="L56" i="4" s="1"/>
  <c r="J57" i="4"/>
  <c r="L57" i="4" s="1"/>
  <c r="J58" i="4"/>
  <c r="L58" i="4" s="1"/>
  <c r="J59" i="4"/>
  <c r="L59" i="4" s="1"/>
  <c r="J60" i="4"/>
  <c r="L60" i="4" s="1"/>
  <c r="J61" i="4"/>
  <c r="L61" i="4" s="1"/>
  <c r="J62" i="4"/>
  <c r="L62" i="4" s="1"/>
  <c r="J63" i="4"/>
  <c r="L63" i="4" s="1"/>
  <c r="J64" i="4"/>
  <c r="L64" i="4" s="1"/>
  <c r="J65" i="4"/>
  <c r="L65" i="4" s="1"/>
  <c r="J66" i="4"/>
  <c r="L66" i="4" s="1"/>
  <c r="J67" i="4"/>
  <c r="L67" i="4" s="1"/>
  <c r="J68" i="4"/>
  <c r="L68" i="4" s="1"/>
  <c r="J69" i="4"/>
  <c r="L69" i="4" s="1"/>
  <c r="J70" i="4"/>
  <c r="L70" i="4" s="1"/>
  <c r="J71" i="4"/>
  <c r="L71" i="4" s="1"/>
  <c r="J72" i="4"/>
  <c r="L72" i="4" s="1"/>
  <c r="J73" i="4"/>
  <c r="L73" i="4" s="1"/>
  <c r="J74" i="4"/>
  <c r="L74" i="4" s="1"/>
  <c r="J75" i="4"/>
  <c r="L75" i="4" s="1"/>
  <c r="J76" i="4"/>
  <c r="J77" i="4"/>
  <c r="L77" i="4" s="1"/>
  <c r="J78" i="4"/>
  <c r="L78" i="4" s="1"/>
  <c r="J79" i="4"/>
  <c r="L79" i="4" s="1"/>
  <c r="J80" i="4"/>
  <c r="L80" i="4" s="1"/>
  <c r="J81" i="4"/>
  <c r="L81" i="4" s="1"/>
  <c r="J82" i="4"/>
  <c r="L82" i="4" s="1"/>
  <c r="J83" i="4"/>
  <c r="L83" i="4" s="1"/>
  <c r="J84" i="4"/>
  <c r="L84" i="4" s="1"/>
  <c r="J85" i="4"/>
  <c r="L85" i="4" s="1"/>
  <c r="J86" i="4"/>
  <c r="L86" i="4" s="1"/>
  <c r="J87" i="4"/>
  <c r="L87" i="4" s="1"/>
  <c r="J88" i="4"/>
  <c r="L88" i="4" s="1"/>
  <c r="J89" i="4"/>
  <c r="L89" i="4" s="1"/>
  <c r="J90" i="4"/>
  <c r="L90" i="4" s="1"/>
  <c r="J91" i="4"/>
  <c r="L91" i="4" s="1"/>
  <c r="J92" i="4"/>
  <c r="L92" i="4" s="1"/>
  <c r="J93" i="4"/>
  <c r="L93" i="4" s="1"/>
  <c r="J94" i="4"/>
  <c r="J95" i="4"/>
  <c r="L95" i="4" s="1"/>
  <c r="J96" i="4"/>
  <c r="L96" i="4" s="1"/>
  <c r="J97" i="4"/>
  <c r="L97" i="4" s="1"/>
  <c r="J98" i="4"/>
  <c r="L98" i="4" s="1"/>
  <c r="J99" i="4"/>
  <c r="L99" i="4" s="1"/>
  <c r="J100" i="4"/>
  <c r="L100" i="4" s="1"/>
  <c r="J101" i="4"/>
  <c r="L101" i="4" s="1"/>
  <c r="J102" i="4"/>
  <c r="L102" i="4" s="1"/>
  <c r="J103" i="4"/>
  <c r="L103" i="4" s="1"/>
  <c r="J104" i="4"/>
  <c r="L104" i="4" s="1"/>
  <c r="J105" i="4"/>
  <c r="L105" i="4" s="1"/>
  <c r="J106" i="4"/>
  <c r="L106" i="4" s="1"/>
  <c r="J107" i="4"/>
  <c r="L107" i="4" s="1"/>
  <c r="J108" i="4"/>
  <c r="L108" i="4" s="1"/>
  <c r="J109" i="4"/>
  <c r="L109" i="4" s="1"/>
  <c r="J110" i="4"/>
  <c r="L110" i="4" s="1"/>
  <c r="J111" i="4"/>
  <c r="J112" i="4"/>
  <c r="L112" i="4" s="1"/>
  <c r="J113" i="4"/>
  <c r="L113" i="4" s="1"/>
  <c r="J114" i="4"/>
  <c r="L114" i="4" s="1"/>
  <c r="J115" i="4"/>
  <c r="L115" i="4" s="1"/>
  <c r="J116" i="4"/>
  <c r="L116" i="4" s="1"/>
  <c r="J117" i="4"/>
  <c r="L117" i="4" s="1"/>
  <c r="J118" i="4"/>
  <c r="L118" i="4" s="1"/>
  <c r="J119" i="4"/>
  <c r="L119" i="4" s="1"/>
  <c r="J120" i="4"/>
  <c r="L120" i="4" s="1"/>
  <c r="J121" i="4"/>
  <c r="L121" i="4" s="1"/>
  <c r="J122" i="4"/>
  <c r="L122" i="4" s="1"/>
  <c r="J123" i="4"/>
  <c r="L123" i="4" s="1"/>
  <c r="J124" i="4"/>
  <c r="L124" i="4" s="1"/>
  <c r="J125" i="4"/>
  <c r="L125" i="4" s="1"/>
  <c r="J126" i="4"/>
  <c r="L126" i="4" s="1"/>
  <c r="J127" i="4"/>
  <c r="J128" i="4"/>
  <c r="L128" i="4" s="1"/>
  <c r="J129" i="4"/>
  <c r="L129" i="4" s="1"/>
  <c r="J130" i="4"/>
  <c r="L130" i="4" s="1"/>
  <c r="J131" i="4"/>
  <c r="L131" i="4" s="1"/>
  <c r="J132" i="4"/>
  <c r="L132" i="4" s="1"/>
  <c r="J133" i="4"/>
  <c r="L133" i="4" s="1"/>
  <c r="J134" i="4"/>
  <c r="L134" i="4" s="1"/>
  <c r="J135" i="4"/>
  <c r="L135" i="4" s="1"/>
  <c r="J136" i="4"/>
  <c r="L136" i="4" s="1"/>
  <c r="J137" i="4"/>
  <c r="L137" i="4" s="1"/>
  <c r="J138" i="4"/>
  <c r="L138" i="4" s="1"/>
  <c r="J139" i="4"/>
  <c r="L139" i="4" s="1"/>
  <c r="J140" i="4"/>
  <c r="L140" i="4" s="1"/>
  <c r="J141" i="4"/>
  <c r="L141" i="4" s="1"/>
  <c r="J142" i="4"/>
  <c r="L142" i="4" s="1"/>
  <c r="J143" i="4"/>
  <c r="L143" i="4" s="1"/>
  <c r="J144" i="4"/>
  <c r="L144" i="4" s="1"/>
  <c r="J145" i="4"/>
  <c r="L145" i="4" s="1"/>
  <c r="J146" i="4"/>
  <c r="L146" i="4" s="1"/>
  <c r="J147" i="4"/>
  <c r="L147" i="4" s="1"/>
  <c r="J148" i="4"/>
  <c r="L148" i="4" s="1"/>
  <c r="J149" i="4"/>
  <c r="L149" i="4" s="1"/>
  <c r="J150" i="4"/>
  <c r="L150" i="4" s="1"/>
  <c r="J151" i="4"/>
  <c r="L151" i="4" s="1"/>
  <c r="J152" i="4"/>
  <c r="L152" i="4" s="1"/>
  <c r="J153" i="4"/>
  <c r="L153" i="4" s="1"/>
  <c r="J154" i="4"/>
  <c r="L154" i="4" s="1"/>
  <c r="J155" i="4"/>
  <c r="L155" i="4" s="1"/>
  <c r="J156" i="4"/>
  <c r="L156" i="4" s="1"/>
  <c r="J157" i="4"/>
  <c r="L157" i="4" s="1"/>
  <c r="J158" i="4"/>
  <c r="L158" i="4" s="1"/>
  <c r="J159" i="4"/>
  <c r="L159" i="4" s="1"/>
  <c r="J160" i="4"/>
  <c r="L160" i="4" s="1"/>
  <c r="J161" i="4"/>
  <c r="L161" i="4" s="1"/>
  <c r="J162" i="4"/>
  <c r="J163" i="4"/>
  <c r="L163" i="4" s="1"/>
  <c r="J164" i="4"/>
  <c r="L164" i="4" s="1"/>
  <c r="J165" i="4"/>
  <c r="L165" i="4" s="1"/>
  <c r="J166" i="4"/>
  <c r="L166" i="4" s="1"/>
  <c r="J167" i="4"/>
  <c r="L167" i="4" s="1"/>
  <c r="J168" i="4"/>
  <c r="L168" i="4" s="1"/>
  <c r="J169" i="4"/>
  <c r="L169" i="4" s="1"/>
  <c r="J170" i="4"/>
  <c r="L170" i="4" s="1"/>
  <c r="J171" i="4"/>
  <c r="L171" i="4" s="1"/>
  <c r="J172" i="4"/>
  <c r="L172" i="4" s="1"/>
  <c r="J173" i="4"/>
  <c r="L173" i="4" s="1"/>
  <c r="J174" i="4"/>
  <c r="J175" i="4"/>
  <c r="L175" i="4" s="1"/>
  <c r="J176" i="4"/>
  <c r="L176" i="4" s="1"/>
  <c r="J177" i="4"/>
  <c r="L177" i="4" s="1"/>
  <c r="J178" i="4"/>
  <c r="L178" i="4" s="1"/>
  <c r="J179" i="4"/>
  <c r="L179" i="4" s="1"/>
  <c r="J180" i="4"/>
  <c r="L180" i="4" s="1"/>
  <c r="J181" i="4"/>
  <c r="L181" i="4" s="1"/>
  <c r="J182" i="4"/>
  <c r="L182" i="4" s="1"/>
  <c r="J183" i="4"/>
  <c r="L183" i="4" s="1"/>
  <c r="J184" i="4"/>
  <c r="L184" i="4" s="1"/>
  <c r="J185" i="4"/>
  <c r="L185" i="4" s="1"/>
  <c r="J186" i="4"/>
  <c r="L186" i="4" s="1"/>
  <c r="J187" i="4"/>
  <c r="L187" i="4" s="1"/>
  <c r="J188" i="4"/>
  <c r="L188" i="4" s="1"/>
  <c r="J189" i="4"/>
  <c r="L189" i="4" s="1"/>
  <c r="J190" i="4"/>
  <c r="L190" i="4" s="1"/>
  <c r="J191" i="4"/>
  <c r="L191" i="4" s="1"/>
  <c r="J192" i="4"/>
  <c r="L192" i="4" s="1"/>
  <c r="J193" i="4"/>
  <c r="L193" i="4" s="1"/>
  <c r="J194" i="4"/>
  <c r="L194" i="4" s="1"/>
  <c r="J195" i="4"/>
  <c r="L195" i="4" s="1"/>
  <c r="J196" i="4"/>
  <c r="L196" i="4" s="1"/>
  <c r="J197" i="4"/>
  <c r="L197" i="4" s="1"/>
  <c r="J198" i="4"/>
  <c r="L198" i="4" s="1"/>
  <c r="J199" i="4"/>
  <c r="J200" i="4"/>
  <c r="L200" i="4" s="1"/>
  <c r="J201" i="4"/>
  <c r="L201" i="4" s="1"/>
  <c r="J202" i="4"/>
  <c r="L202" i="4" s="1"/>
  <c r="J203" i="4"/>
  <c r="L203" i="4" s="1"/>
  <c r="J204" i="4"/>
  <c r="L204" i="4" s="1"/>
  <c r="J205" i="4"/>
  <c r="L205" i="4" s="1"/>
  <c r="J206" i="4"/>
  <c r="L206" i="4" s="1"/>
  <c r="J207" i="4"/>
  <c r="L207" i="4" s="1"/>
  <c r="J208" i="4"/>
  <c r="L208" i="4" s="1"/>
  <c r="J209" i="4"/>
  <c r="L209" i="4" s="1"/>
  <c r="J210" i="4"/>
  <c r="L210" i="4" s="1"/>
  <c r="J211" i="4"/>
  <c r="L211" i="4" s="1"/>
  <c r="J212" i="4"/>
  <c r="L212" i="4" s="1"/>
  <c r="J213" i="4"/>
  <c r="J214" i="4"/>
  <c r="L214" i="4" s="1"/>
  <c r="J215" i="4"/>
  <c r="L215" i="4" s="1"/>
  <c r="J216" i="4"/>
  <c r="L216" i="4" s="1"/>
  <c r="J217" i="4"/>
  <c r="L217" i="4" s="1"/>
  <c r="J218" i="4"/>
  <c r="L218" i="4" s="1"/>
  <c r="J219" i="4"/>
  <c r="L219" i="4" s="1"/>
  <c r="J220" i="4"/>
  <c r="L220" i="4" s="1"/>
  <c r="J221" i="4"/>
  <c r="L221" i="4" s="1"/>
  <c r="J222" i="4"/>
  <c r="L222" i="4" s="1"/>
  <c r="J223" i="4"/>
  <c r="L223" i="4" s="1"/>
  <c r="J224" i="4"/>
  <c r="L224" i="4" s="1"/>
  <c r="J225" i="4"/>
  <c r="L225" i="4" s="1"/>
  <c r="J226" i="4"/>
  <c r="J227" i="4"/>
  <c r="L227" i="4" s="1"/>
  <c r="J228" i="4"/>
  <c r="L228" i="4" s="1"/>
  <c r="J229" i="4"/>
  <c r="L229" i="4" s="1"/>
  <c r="J230" i="4"/>
  <c r="L230" i="4" s="1"/>
  <c r="J231" i="4"/>
  <c r="L231" i="4" s="1"/>
  <c r="J232" i="4"/>
  <c r="L232" i="4" s="1"/>
  <c r="J233" i="4"/>
  <c r="L233" i="4" s="1"/>
  <c r="J234" i="4"/>
  <c r="L234" i="4" s="1"/>
  <c r="J235" i="4"/>
  <c r="L235" i="4" s="1"/>
  <c r="J236" i="4"/>
  <c r="L236" i="4" s="1"/>
  <c r="J237" i="4"/>
  <c r="L237" i="4" s="1"/>
  <c r="J238" i="4"/>
  <c r="J239" i="4"/>
  <c r="L239" i="4" s="1"/>
  <c r="J240" i="4"/>
  <c r="L240" i="4" s="1"/>
  <c r="J241" i="4"/>
  <c r="L241" i="4" s="1"/>
  <c r="J242" i="4"/>
  <c r="L242" i="4" s="1"/>
  <c r="J243" i="4"/>
  <c r="L243" i="4" s="1"/>
  <c r="J244" i="4"/>
  <c r="L244" i="4" s="1"/>
  <c r="J245" i="4"/>
  <c r="L245" i="4" s="1"/>
  <c r="J246" i="4"/>
  <c r="L246" i="4" s="1"/>
  <c r="J247" i="4"/>
  <c r="L247" i="4" s="1"/>
  <c r="J248" i="4"/>
  <c r="L248" i="4" s="1"/>
  <c r="J249" i="4"/>
  <c r="L249" i="4" s="1"/>
  <c r="J250" i="4"/>
  <c r="L250" i="4" s="1"/>
  <c r="J251" i="4"/>
  <c r="L251" i="4" s="1"/>
  <c r="J252" i="4"/>
  <c r="L252" i="4" s="1"/>
  <c r="J253" i="4"/>
  <c r="L253" i="4" s="1"/>
  <c r="J254" i="4"/>
  <c r="L254" i="4" s="1"/>
  <c r="J255" i="4"/>
  <c r="L255" i="4" s="1"/>
  <c r="J256" i="4"/>
  <c r="L256" i="4" s="1"/>
  <c r="J257" i="4"/>
  <c r="L257" i="4" s="1"/>
  <c r="J258" i="4"/>
  <c r="L258" i="4" s="1"/>
  <c r="J259" i="4"/>
  <c r="L259" i="4" s="1"/>
  <c r="J260" i="4"/>
  <c r="L260" i="4" s="1"/>
  <c r="J261" i="4"/>
  <c r="L261" i="4" s="1"/>
  <c r="J262" i="4"/>
  <c r="L262" i="4" s="1"/>
  <c r="J263" i="4"/>
  <c r="J264" i="4"/>
  <c r="L264" i="4" s="1"/>
  <c r="J265" i="4"/>
  <c r="L265" i="4" s="1"/>
  <c r="J266" i="4"/>
  <c r="L266" i="4" s="1"/>
  <c r="J267" i="4"/>
  <c r="L267" i="4" s="1"/>
  <c r="J268" i="4"/>
  <c r="L268" i="4" s="1"/>
  <c r="J269" i="4"/>
  <c r="L269" i="4" s="1"/>
  <c r="J270" i="4"/>
  <c r="L270" i="4" s="1"/>
  <c r="J271" i="4"/>
  <c r="L271" i="4" s="1"/>
  <c r="J272" i="4"/>
  <c r="L272" i="4" s="1"/>
  <c r="J273" i="4"/>
  <c r="L273" i="4" s="1"/>
  <c r="J274" i="4"/>
  <c r="L274" i="4" s="1"/>
  <c r="J275" i="4"/>
  <c r="L275" i="4" s="1"/>
  <c r="J276" i="4"/>
  <c r="L276" i="4" s="1"/>
  <c r="J277" i="4"/>
  <c r="J278" i="4"/>
  <c r="L278" i="4" s="1"/>
  <c r="J279" i="4"/>
  <c r="L279" i="4" s="1"/>
  <c r="J280" i="4"/>
  <c r="L280" i="4" s="1"/>
  <c r="J281" i="4"/>
  <c r="L281" i="4" s="1"/>
  <c r="J282" i="4"/>
  <c r="L282" i="4" s="1"/>
  <c r="J283" i="4"/>
  <c r="L283" i="4" s="1"/>
  <c r="J284" i="4"/>
  <c r="L284" i="4" s="1"/>
  <c r="J285" i="4"/>
  <c r="L285" i="4" s="1"/>
  <c r="J286" i="4"/>
  <c r="L286" i="4" s="1"/>
  <c r="J287" i="4"/>
  <c r="L287" i="4" s="1"/>
  <c r="J288" i="4"/>
  <c r="L288" i="4" s="1"/>
  <c r="J289" i="4"/>
  <c r="L289" i="4" s="1"/>
  <c r="J290" i="4"/>
  <c r="J291" i="4"/>
  <c r="L291" i="4" s="1"/>
  <c r="J292" i="4"/>
  <c r="L292" i="4" s="1"/>
  <c r="J293" i="4"/>
  <c r="L293" i="4" s="1"/>
  <c r="J294" i="4"/>
  <c r="L294" i="4" s="1"/>
  <c r="J295" i="4"/>
  <c r="L295" i="4" s="1"/>
  <c r="J296" i="4"/>
  <c r="L296" i="4" s="1"/>
  <c r="J297" i="4"/>
  <c r="L297" i="4" s="1"/>
  <c r="J298" i="4"/>
  <c r="L298" i="4" s="1"/>
  <c r="J299" i="4"/>
  <c r="L299" i="4" s="1"/>
  <c r="J300" i="4"/>
  <c r="L300" i="4" s="1"/>
  <c r="J301" i="4"/>
  <c r="L301" i="4" s="1"/>
  <c r="J302" i="4"/>
  <c r="J303" i="4"/>
  <c r="L303" i="4" s="1"/>
  <c r="J304" i="4"/>
  <c r="L304" i="4" s="1"/>
  <c r="J305" i="4"/>
  <c r="L305" i="4" s="1"/>
  <c r="J306" i="4"/>
  <c r="L306" i="4" s="1"/>
  <c r="J307" i="4"/>
  <c r="L307" i="4" s="1"/>
  <c r="J308" i="4"/>
  <c r="L308" i="4" s="1"/>
  <c r="J309" i="4"/>
  <c r="L309" i="4" s="1"/>
  <c r="J310" i="4"/>
  <c r="L310" i="4" s="1"/>
  <c r="J311" i="4"/>
  <c r="L311" i="4" s="1"/>
  <c r="J312" i="4"/>
  <c r="L312" i="4" s="1"/>
  <c r="J313" i="4"/>
  <c r="L313" i="4" s="1"/>
  <c r="J314" i="4"/>
  <c r="L314" i="4" s="1"/>
  <c r="J315" i="4"/>
  <c r="L315" i="4" s="1"/>
  <c r="J316" i="4"/>
  <c r="L316" i="4" s="1"/>
  <c r="J317" i="4"/>
  <c r="L317" i="4" s="1"/>
  <c r="J318" i="4"/>
  <c r="L318" i="4" s="1"/>
  <c r="J319" i="4"/>
  <c r="L319" i="4" s="1"/>
  <c r="J320" i="4"/>
  <c r="L320" i="4" s="1"/>
  <c r="J321" i="4"/>
  <c r="L321" i="4" s="1"/>
  <c r="J322" i="4"/>
  <c r="L322" i="4" s="1"/>
  <c r="J323" i="4"/>
  <c r="L323" i="4" s="1"/>
  <c r="J324" i="4"/>
  <c r="L324" i="4" s="1"/>
  <c r="J325" i="4"/>
  <c r="L325" i="4" s="1"/>
  <c r="J326" i="4"/>
  <c r="L326" i="4" s="1"/>
  <c r="J327" i="4"/>
  <c r="J328" i="4"/>
  <c r="L328" i="4" s="1"/>
  <c r="J329" i="4"/>
  <c r="L329" i="4" s="1"/>
  <c r="J330" i="4"/>
  <c r="L330" i="4" s="1"/>
  <c r="J331" i="4"/>
  <c r="L331" i="4" s="1"/>
  <c r="J332" i="4"/>
  <c r="L332" i="4" s="1"/>
  <c r="J333" i="4"/>
  <c r="L333" i="4" s="1"/>
  <c r="J334" i="4"/>
  <c r="L334" i="4" s="1"/>
  <c r="J335" i="4"/>
  <c r="L335" i="4" s="1"/>
  <c r="J336" i="4"/>
  <c r="L336" i="4" s="1"/>
  <c r="J337" i="4"/>
  <c r="L337" i="4" s="1"/>
  <c r="J338" i="4"/>
  <c r="L338" i="4" s="1"/>
  <c r="J339" i="4"/>
  <c r="L339" i="4" s="1"/>
  <c r="J340" i="4"/>
  <c r="L340" i="4" s="1"/>
  <c r="J341" i="4"/>
  <c r="J342" i="4"/>
  <c r="L342" i="4" s="1"/>
  <c r="J343" i="4"/>
  <c r="L343" i="4" s="1"/>
  <c r="J344" i="4"/>
  <c r="L344" i="4" s="1"/>
  <c r="J345" i="4"/>
  <c r="L345" i="4" s="1"/>
  <c r="J346" i="4"/>
  <c r="L346" i="4" s="1"/>
  <c r="J347" i="4"/>
  <c r="L347" i="4" s="1"/>
  <c r="J348" i="4"/>
  <c r="L348" i="4" s="1"/>
  <c r="J349" i="4"/>
  <c r="L349" i="4" s="1"/>
  <c r="J350" i="4"/>
  <c r="L350" i="4" s="1"/>
  <c r="J351" i="4"/>
  <c r="L351" i="4" s="1"/>
  <c r="J352" i="4"/>
  <c r="L352" i="4" s="1"/>
  <c r="J353" i="4"/>
  <c r="L353" i="4" s="1"/>
  <c r="J354" i="4"/>
  <c r="J355" i="4"/>
  <c r="L355" i="4" s="1"/>
  <c r="J356" i="4"/>
  <c r="L356" i="4" s="1"/>
  <c r="J357" i="4"/>
  <c r="L357" i="4" s="1"/>
  <c r="J358" i="4"/>
  <c r="L358" i="4" s="1"/>
  <c r="J359" i="4"/>
  <c r="L359" i="4" s="1"/>
  <c r="J360" i="4"/>
  <c r="L360" i="4" s="1"/>
  <c r="J361" i="4"/>
  <c r="L361" i="4" s="1"/>
  <c r="J362" i="4"/>
  <c r="L362" i="4" s="1"/>
  <c r="J363" i="4"/>
  <c r="L363" i="4" s="1"/>
  <c r="J364" i="4"/>
  <c r="L364" i="4" s="1"/>
  <c r="J365" i="4"/>
  <c r="L365" i="4" s="1"/>
  <c r="J366" i="4"/>
  <c r="J367" i="4"/>
  <c r="L367" i="4" s="1"/>
  <c r="J368" i="4"/>
  <c r="L368" i="4" s="1"/>
  <c r="J369" i="4"/>
  <c r="L369" i="4" s="1"/>
  <c r="J370" i="4"/>
  <c r="L370" i="4" s="1"/>
  <c r="J371" i="4"/>
  <c r="L371" i="4" s="1"/>
  <c r="J372" i="4"/>
  <c r="L372" i="4" s="1"/>
  <c r="J373" i="4"/>
  <c r="L373" i="4" s="1"/>
  <c r="J374" i="4"/>
  <c r="L374" i="4" s="1"/>
  <c r="J375" i="4"/>
  <c r="L375" i="4" s="1"/>
  <c r="J376" i="4"/>
  <c r="L376" i="4" s="1"/>
  <c r="J377" i="4"/>
  <c r="L377" i="4" s="1"/>
  <c r="J378" i="4"/>
  <c r="L378" i="4" s="1"/>
  <c r="J379" i="4"/>
  <c r="L379" i="4" s="1"/>
  <c r="J380" i="4"/>
  <c r="L380" i="4" s="1"/>
  <c r="J381" i="4"/>
  <c r="L381" i="4" s="1"/>
  <c r="J382" i="4"/>
  <c r="L382" i="4" s="1"/>
  <c r="J383" i="4"/>
  <c r="L383" i="4" s="1"/>
  <c r="J384" i="4"/>
  <c r="L384" i="4" s="1"/>
  <c r="J385" i="4"/>
  <c r="L385" i="4" s="1"/>
  <c r="J386" i="4"/>
  <c r="L386" i="4" s="1"/>
  <c r="J387" i="4"/>
  <c r="L387" i="4" s="1"/>
  <c r="J388" i="4"/>
  <c r="L388" i="4" s="1"/>
  <c r="J389" i="4"/>
  <c r="L389" i="4" s="1"/>
  <c r="J390" i="4"/>
  <c r="L390" i="4" s="1"/>
  <c r="J391" i="4"/>
  <c r="J392" i="4"/>
  <c r="L392" i="4" s="1"/>
  <c r="J393" i="4"/>
  <c r="L393" i="4" s="1"/>
  <c r="J394" i="4"/>
  <c r="L394" i="4" s="1"/>
  <c r="J395" i="4"/>
  <c r="L395" i="4" s="1"/>
  <c r="J396" i="4"/>
  <c r="L396" i="4" s="1"/>
  <c r="J397" i="4"/>
  <c r="L397" i="4" s="1"/>
  <c r="J398" i="4"/>
  <c r="L398" i="4" s="1"/>
  <c r="J399" i="4"/>
  <c r="L399" i="4" s="1"/>
  <c r="J400" i="4"/>
  <c r="L400" i="4" s="1"/>
  <c r="J401" i="4"/>
  <c r="L401" i="4" s="1"/>
  <c r="J402" i="4"/>
  <c r="L402" i="4" s="1"/>
  <c r="J403" i="4"/>
  <c r="L403" i="4" s="1"/>
  <c r="J404" i="4"/>
  <c r="J405" i="4"/>
  <c r="L405" i="4" s="1"/>
  <c r="J406" i="4"/>
  <c r="L406" i="4" s="1"/>
  <c r="J407" i="4"/>
  <c r="L407" i="4" s="1"/>
  <c r="J408" i="4"/>
  <c r="L408" i="4" s="1"/>
  <c r="J409" i="4"/>
  <c r="L409" i="4" s="1"/>
  <c r="J410" i="4"/>
  <c r="L410" i="4" s="1"/>
  <c r="J411" i="4"/>
  <c r="L411" i="4" s="1"/>
  <c r="J412" i="4"/>
  <c r="L412" i="4" s="1"/>
  <c r="J413" i="4"/>
  <c r="L413" i="4" s="1"/>
  <c r="J414" i="4"/>
  <c r="J415" i="4"/>
  <c r="L415" i="4" s="1"/>
  <c r="J416" i="4"/>
  <c r="L416" i="4" s="1"/>
  <c r="J417" i="4"/>
  <c r="L417" i="4" s="1"/>
  <c r="J418" i="4"/>
  <c r="L418" i="4" s="1"/>
  <c r="J419" i="4"/>
  <c r="L419" i="4" s="1"/>
  <c r="J420" i="4"/>
  <c r="L420" i="4" s="1"/>
  <c r="J421" i="4"/>
  <c r="L421" i="4" s="1"/>
  <c r="J422" i="4"/>
  <c r="L422" i="4" s="1"/>
  <c r="J423" i="4"/>
  <c r="L423" i="4" s="1"/>
  <c r="J424" i="4"/>
  <c r="L424" i="4" s="1"/>
  <c r="J425" i="4"/>
  <c r="J426" i="4"/>
  <c r="L426" i="4" s="1"/>
  <c r="J427" i="4"/>
  <c r="L427" i="4" s="1"/>
  <c r="J428" i="4"/>
  <c r="L428" i="4" s="1"/>
  <c r="J429" i="4"/>
  <c r="L429" i="4" s="1"/>
  <c r="J430" i="4"/>
  <c r="L430" i="4" s="1"/>
  <c r="J431" i="4"/>
  <c r="L431" i="4" s="1"/>
  <c r="J432" i="4"/>
  <c r="L432" i="4" s="1"/>
  <c r="J433" i="4"/>
  <c r="J434" i="4"/>
  <c r="L434" i="4" s="1"/>
  <c r="J435" i="4"/>
  <c r="L435" i="4" s="1"/>
  <c r="J436" i="4"/>
  <c r="L436" i="4" s="1"/>
  <c r="J437" i="4"/>
  <c r="L437" i="4" s="1"/>
  <c r="J438" i="4"/>
  <c r="L438" i="4" s="1"/>
  <c r="J439" i="4"/>
  <c r="L439" i="4" s="1"/>
  <c r="J440" i="4"/>
  <c r="L440" i="4" s="1"/>
  <c r="J441" i="4"/>
  <c r="J442" i="4"/>
  <c r="L442" i="4" s="1"/>
  <c r="J443" i="4"/>
  <c r="L443" i="4" s="1"/>
  <c r="J444" i="4"/>
  <c r="L444" i="4" s="1"/>
  <c r="J445" i="4"/>
  <c r="L445" i="4" s="1"/>
  <c r="J446" i="4"/>
  <c r="L446" i="4" s="1"/>
  <c r="J447" i="4"/>
  <c r="L447" i="4" s="1"/>
  <c r="J448" i="4"/>
  <c r="L448" i="4" s="1"/>
  <c r="J449" i="4"/>
  <c r="J450" i="4"/>
  <c r="L450" i="4" s="1"/>
  <c r="J451" i="4"/>
  <c r="L451" i="4" s="1"/>
  <c r="J452" i="4"/>
  <c r="L452" i="4" s="1"/>
  <c r="J453" i="4"/>
  <c r="L453" i="4" s="1"/>
  <c r="J454" i="4"/>
  <c r="L454" i="4" s="1"/>
  <c r="J455" i="4"/>
  <c r="L455" i="4" s="1"/>
  <c r="J456" i="4"/>
  <c r="L456" i="4" s="1"/>
  <c r="J457" i="4"/>
  <c r="J458" i="4"/>
  <c r="L458" i="4" s="1"/>
  <c r="J459" i="4"/>
  <c r="L459" i="4" s="1"/>
  <c r="J460" i="4"/>
  <c r="L460" i="4" s="1"/>
  <c r="J461" i="4"/>
  <c r="L461" i="4" s="1"/>
  <c r="J462" i="4"/>
  <c r="L462" i="4" s="1"/>
  <c r="J463" i="4"/>
  <c r="L463" i="4" s="1"/>
  <c r="J464" i="4"/>
  <c r="L464" i="4" s="1"/>
  <c r="J465" i="4"/>
  <c r="J466" i="4"/>
  <c r="L466" i="4" s="1"/>
  <c r="J467" i="4"/>
  <c r="L467" i="4" s="1"/>
  <c r="J468" i="4"/>
  <c r="L468" i="4" s="1"/>
  <c r="J469" i="4"/>
  <c r="L469" i="4" s="1"/>
  <c r="J470" i="4"/>
  <c r="L470" i="4" s="1"/>
  <c r="J471" i="4"/>
  <c r="L471" i="4" s="1"/>
  <c r="J472" i="4"/>
  <c r="L472" i="4" s="1"/>
  <c r="J473" i="4"/>
  <c r="J474" i="4"/>
  <c r="L474" i="4" s="1"/>
  <c r="J475" i="4"/>
  <c r="L475" i="4" s="1"/>
  <c r="J476" i="4"/>
  <c r="L476" i="4" s="1"/>
  <c r="J477" i="4"/>
  <c r="L477" i="4" s="1"/>
  <c r="J478" i="4"/>
  <c r="L478" i="4" s="1"/>
  <c r="J479" i="4"/>
  <c r="L479" i="4" s="1"/>
  <c r="J480" i="4"/>
  <c r="L480" i="4" s="1"/>
  <c r="J481" i="4"/>
  <c r="J482" i="4"/>
  <c r="L482" i="4" s="1"/>
  <c r="J483" i="4"/>
  <c r="L483" i="4" s="1"/>
  <c r="J484" i="4"/>
  <c r="L484" i="4" s="1"/>
  <c r="J485" i="4"/>
  <c r="L485" i="4" s="1"/>
  <c r="J486" i="4"/>
  <c r="L486" i="4" s="1"/>
  <c r="J487" i="4"/>
  <c r="L487" i="4" s="1"/>
  <c r="J488" i="4"/>
  <c r="L488" i="4" s="1"/>
  <c r="J489" i="4"/>
  <c r="J490" i="4"/>
  <c r="L490" i="4" s="1"/>
  <c r="J491" i="4"/>
  <c r="L491" i="4" s="1"/>
  <c r="J492" i="4"/>
  <c r="L492" i="4" s="1"/>
  <c r="J493" i="4"/>
  <c r="L493" i="4" s="1"/>
  <c r="J494" i="4"/>
  <c r="L494" i="4" s="1"/>
  <c r="J495" i="4"/>
  <c r="L495" i="4" s="1"/>
  <c r="J496" i="4"/>
  <c r="L496" i="4" s="1"/>
  <c r="J497" i="4"/>
  <c r="J498" i="4"/>
  <c r="L498" i="4" s="1"/>
  <c r="J499" i="4"/>
  <c r="L499" i="4" s="1"/>
  <c r="J500" i="4"/>
  <c r="L500" i="4" s="1"/>
  <c r="J501" i="4"/>
  <c r="L501" i="4" s="1"/>
  <c r="J502" i="4"/>
  <c r="L502" i="4" s="1"/>
  <c r="J503" i="4"/>
  <c r="L503" i="4" s="1"/>
  <c r="J504" i="4"/>
  <c r="L504" i="4" s="1"/>
  <c r="J505" i="4"/>
  <c r="J506" i="4"/>
  <c r="L506" i="4" s="1"/>
  <c r="J507" i="4"/>
  <c r="L507" i="4" s="1"/>
  <c r="J508" i="4"/>
  <c r="L508" i="4" s="1"/>
  <c r="J509" i="4"/>
  <c r="L509" i="4" s="1"/>
  <c r="J510" i="4"/>
  <c r="L510" i="4" s="1"/>
  <c r="J511" i="4"/>
  <c r="L511" i="4" s="1"/>
  <c r="J512" i="4"/>
  <c r="L512" i="4" s="1"/>
  <c r="J513" i="4"/>
  <c r="J514" i="4"/>
  <c r="L514" i="4" s="1"/>
  <c r="J515" i="4"/>
  <c r="L515" i="4" s="1"/>
  <c r="J516" i="4"/>
  <c r="L516" i="4" s="1"/>
  <c r="J517" i="4"/>
  <c r="L517" i="4" s="1"/>
  <c r="J518" i="4"/>
  <c r="L518" i="4" s="1"/>
  <c r="J519" i="4"/>
  <c r="L519" i="4" s="1"/>
  <c r="J520" i="4"/>
  <c r="L520" i="4" s="1"/>
  <c r="J521" i="4"/>
  <c r="J522" i="4"/>
  <c r="L522" i="4" s="1"/>
  <c r="J523" i="4"/>
  <c r="L523" i="4" s="1"/>
  <c r="J524" i="4"/>
  <c r="L524" i="4" s="1"/>
  <c r="J525" i="4"/>
  <c r="L525" i="4" s="1"/>
  <c r="J526" i="4"/>
  <c r="L526" i="4" s="1"/>
  <c r="J527" i="4"/>
  <c r="L527" i="4" s="1"/>
  <c r="J528" i="4"/>
  <c r="L528" i="4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3" i="4"/>
  <c r="H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</calcChain>
</file>

<file path=xl/sharedStrings.xml><?xml version="1.0" encoding="utf-8"?>
<sst xmlns="http://schemas.openxmlformats.org/spreadsheetml/2006/main" count="3370" uniqueCount="119">
  <si>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</si>
  <si>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</si>
  <si>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</si>
  <si>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</si>
  <si>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</si>
  <si>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</si>
  <si>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</si>
  <si>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</si>
  <si>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</si>
  <si>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</si>
  <si>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</si>
  <si>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</si>
  <si>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</si>
  <si>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</si>
  <si>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</si>
  <si>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</si>
  <si>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</si>
  <si>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</si>
  <si>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</si>
  <si>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</si>
  <si>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</si>
  <si>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</si>
  <si>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</si>
  <si>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</si>
  <si>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</si>
  <si>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</si>
  <si>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</si>
  <si>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</si>
  <si>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</si>
  <si>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</si>
  <si>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</si>
  <si>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</si>
  <si>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</si>
  <si>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</si>
  <si>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</si>
  <si>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</si>
  <si>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</si>
  <si>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</si>
  <si>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</si>
  <si>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</si>
  <si>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</si>
  <si>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</si>
  <si>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</si>
  <si>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</si>
  <si>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</si>
  <si>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</si>
  <si>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</si>
  <si>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</si>
  <si>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</si>
  <si>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</si>
  <si>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</si>
  <si>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</si>
  <si>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</si>
  <si>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</si>
  <si>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</si>
  <si>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</si>
  <si>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</si>
  <si>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</si>
  <si>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</si>
  <si>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</si>
  <si>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</si>
  <si>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</si>
  <si>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</si>
  <si>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</si>
  <si>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</si>
  <si>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</si>
  <si>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</si>
  <si>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</si>
  <si>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</si>
  <si>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</si>
  <si>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</si>
  <si>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</si>
  <si>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</si>
  <si>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</si>
  <si>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</si>
  <si>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</si>
  <si>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</si>
  <si>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</si>
  <si>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</si>
  <si>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</si>
  <si>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</si>
  <si>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</si>
  <si>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</si>
  <si>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</si>
  <si>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</si>
  <si>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</si>
  <si>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</si>
  <si>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</si>
  <si>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</si>
  <si>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</si>
  <si>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</si>
  <si>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</si>
  <si>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</si>
  <si>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</si>
  <si>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</si>
  <si>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</si>
  <si>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</si>
  <si>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</si>
  <si>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</si>
  <si>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</si>
  <si>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</si>
  <si>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</si>
  <si>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</si>
  <si>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</si>
  <si>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</si>
  <si>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</si>
  <si>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</si>
  <si>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</si>
  <si>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</si>
  <si>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</si>
  <si>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</si>
  <si>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</si>
  <si>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</si>
  <si>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</si>
  <si>
    <t>TOTAL_SELLING_VALUE</t>
  </si>
  <si>
    <t>TOTAL_BUYING_VALUE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</si>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</sst>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0" fontId="0" fillId="0" borderId="0" xfId="0" applyNumberFormat="1"/>
    <xf numFmtId="165" fontId="1" fillId="4" borderId="1" xfId="0" applyNumberFormat="1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37"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Invisible" pivot="0" table="0" count="0" xr9:uid="{2A2AE5E4-3338-4FC1-AF1B-7F4F1AE44415}"/>
    <tableStyle name="SLICER" pivot="0" table="0" count="10" xr9:uid="{C2F4C036-8D81-403F-996E-142D1BF5CBC0}">
      <tableStyleElement type="wholeTable" dxfId="36"/>
      <tableStyleElement type="headerRow" dxfId="35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4AAF48-523C-4C28-A9B7-25A86C7CB876}" name="InputData4" displayName="InputData4" ref="A1:P528" totalsRowShown="0" headerRowDxfId="17" headerRowBorderDxfId="16">
  <autoFilter ref="A1:P528" xr:uid="{60351B27-4213-4B50-AF1E-6DD234ED1CD8}"/>
  <sortState xmlns:xlrd2="http://schemas.microsoft.com/office/spreadsheetml/2017/richdata2" ref="A2:E527">
    <sortCondition ref="A1:A527"/>
  </sortState>
  <tableColumns count="16">
    <tableColumn id="1" xr3:uid="{A5AD4937-8E28-4A5C-8EBD-972358136EEC}" name="DATE" dataDxfId="15"/>
    <tableColumn id="3" xr3:uid="{BCF2C356-6AAB-4A2F-BC41-D2E2F781AC9A}" name="PRODUCT ID" dataDxfId="14"/>
    <tableColumn id="2" xr3:uid="{697746D0-2ED5-421B-B8B5-C3DECF6A62A0}" name="QUANTITY" dataDxfId="13"/>
    <tableColumn id="4" xr3:uid="{CA1E6107-C820-4FEC-8040-5136D02100BE}" name="SALE TYPE" dataDxfId="12"/>
    <tableColumn id="5" xr3:uid="{16C0DCF4-5C27-423F-8E82-0AC25A7F39B9}" name="PAYMENT MODE" dataDxfId="11"/>
    <tableColumn id="6" xr3:uid="{BE0975A1-B1D5-470D-A69E-A9F84DD91CB3}" name="DISCOUNT %" dataDxfId="10"/>
    <tableColumn id="7" xr3:uid="{589CFCF5-D26A-449B-AE71-67250B51B050}" name="PRODUCT" dataDxfId="9">
      <calculatedColumnFormula>VLOOKUP(InputData4[[#This Row],[PRODUCT ID]],MasterData[],2,0)</calculatedColumnFormula>
    </tableColumn>
    <tableColumn id="8" xr3:uid="{679DCB5A-45B8-47B3-A298-9715F66C6665}" name="CATEGORY" dataDxfId="8">
      <calculatedColumnFormula>VLOOKUP(InputData4[[#This Row],[PRODUCT ID]],MasterData[],3,0)</calculatedColumnFormula>
    </tableColumn>
    <tableColumn id="9" xr3:uid="{C5CC2F10-AFC7-4710-8090-A3F07A77F144}" name="UOM" dataDxfId="5">
      <calculatedColumnFormula>VLOOKUP(InputData4[[#This Row],[PRODUCT ID]],MasterData[],4,0)</calculatedColumnFormula>
    </tableColumn>
    <tableColumn id="10" xr3:uid="{DC0A3F62-8AC3-4609-AF67-EF8A6D570825}" name="BUYING PRIZE" dataDxfId="3">
      <calculatedColumnFormula>VLOOKUP(InputData4[[#This Row],[PRODUCT ID]],MasterData[],5,0)</calculatedColumnFormula>
    </tableColumn>
    <tableColumn id="11" xr3:uid="{E90937DA-569B-4C60-8725-679EAAB79490}" name="SELLING PRICE" dataDxfId="2">
      <calculatedColumnFormula>VLOOKUP(InputData4[[#This Row],[PRODUCT ID]],MasterData[],6,0)</calculatedColumnFormula>
    </tableColumn>
    <tableColumn id="12" xr3:uid="{65E5A556-CD03-440C-A850-6E54F7B613BB}" name="TOTAL_BUYING_VALUE" dataDxfId="1">
      <calculatedColumnFormula>InputData4[[#This Row],[QUANTITY]]*InputData4[[#This Row],[BUYING PRIZE]]</calculatedColumnFormula>
    </tableColumn>
    <tableColumn id="13" xr3:uid="{B0EB99E7-611D-4C07-A573-44D9FBE086C3}" name="TOTAL_SELLING_VALUE" dataDxfId="0">
      <calculatedColumnFormula>InputData4[[#This Row],[QUANTITY]]*InputData4[[#This Row],[SELLING PRICE]]*(1-InputData4[[#This Row],[DISCOUNT %]])</calculatedColumnFormula>
    </tableColumn>
    <tableColumn id="14" xr3:uid="{600D8D00-9324-4C52-B0FE-BFC170D7F8D4}" name="DAY" dataDxfId="4">
      <calculatedColumnFormula>DAY(InputData4[[#This Row],[DATE]])</calculatedColumnFormula>
    </tableColumn>
    <tableColumn id="15" xr3:uid="{24207791-4C61-4B54-8BC4-5B4DFB7ABDD6}" name="MONTH" dataDxfId="7">
      <calculatedColumnFormula>MONTH(InputData4[[#This Row],[DATE]])</calculatedColumnFormula>
    </tableColumn>
    <tableColumn id="16" xr3:uid="{A67D93FB-4B66-42C7-9F7F-B3AB1AB88FC3}" name="YEAR" dataDxfId="6">
      <calculatedColumnFormula>YEAR(InputData4[[#This Row],[DATE]])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34" headerRowBorderDxfId="33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32"/>
    <tableColumn id="3" xr3:uid="{1B687DA1-746A-409E-8132-464ADA2D65F7}" name="PRODUCT ID" dataDxfId="31"/>
    <tableColumn id="2" xr3:uid="{3D21C161-3520-4EEB-95C2-BC89A67F811B}" name="QUANTITY" dataDxfId="30"/>
    <tableColumn id="4" xr3:uid="{51AFA112-3989-4C7A-B537-003512753602}" name="SALE TYPE" dataDxfId="29"/>
    <tableColumn id="5" xr3:uid="{057B8FDA-60FB-4816-999C-2030B688B9CF}" name="PAYMENT MODE" dataDxfId="28"/>
    <tableColumn id="6" xr3:uid="{A77A9445-20AF-4122-92EB-C3706E536AB4}" name="DISCOUNT %" dataDxfId="27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26" dataDxfId="24" headerRowBorderDxfId="25">
  <autoFilter ref="A1:F46" xr:uid="{DE6FA1E2-6EE8-430A-AF62-020400F3E926}"/>
  <tableColumns count="6">
    <tableColumn id="1" xr3:uid="{106E50BA-9FFB-484D-AC75-176578AFED44}" name="PRODUCT ID" dataDxfId="23"/>
    <tableColumn id="2" xr3:uid="{C6063C4C-22AC-43C3-B630-5C0916CFA263}" name="PRODUCT" dataDxfId="22"/>
    <tableColumn id="3" xr3:uid="{FEA9A0A4-A0D7-45FA-BD75-4D9EBBD09441}" name="CATEGORY" dataDxfId="21"/>
    <tableColumn id="4" xr3:uid="{3BDFD3DA-79CD-4B0E-9F98-1F406523093B}" name="UOM" dataDxfId="20"/>
    <tableColumn id="5" xr3:uid="{C286276F-25D5-4D9D-9759-32EF67A133BE}" name="BUYING PRIZE" dataDxfId="19"/>
    <tableColumn id="6" xr3:uid="{BFC92544-6510-4B40-ABEE-FD6A4B0302D7}" name="SELLING PRICE" dataDxfId="1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B10C-EF4C-4741-BEE3-55BD437699F0}">
  <sheetPr>
    <tabColor rgb="FF00B050"/>
  </sheetPr>
  <dimension ref="A1:P528"/>
  <sheetViews>
    <sheetView tabSelected="1" workbookViewId="0">
      <selection activeCell="Q10" sqref="Q10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4.21875" bestFit="1" customWidth="1"/>
    <col min="4" max="4" width="14.109375" bestFit="1" customWidth="1"/>
    <col min="5" max="5" width="19.77734375" bestFit="1" customWidth="1"/>
    <col min="6" max="6" width="16.21875" bestFit="1" customWidth="1"/>
    <col min="7" max="7" width="13.6640625" bestFit="1" customWidth="1"/>
    <col min="8" max="8" width="14.44140625" bestFit="1" customWidth="1"/>
    <col min="9" max="9" width="9.88671875" bestFit="1" customWidth="1"/>
    <col min="10" max="10" width="17.21875" bestFit="1" customWidth="1"/>
    <col min="11" max="11" width="17.77734375" bestFit="1" customWidth="1"/>
    <col min="12" max="12" width="24.21875" bestFit="1" customWidth="1"/>
    <col min="13" max="13" width="24.5546875" bestFit="1" customWidth="1"/>
  </cols>
  <sheetData>
    <row r="1" spans="1:16" ht="15" thickBot="1" x14ac:dyDescent="0.35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</v>
      </c>
      <c r="H1" s="2" t="s">
        <v>2</v>
      </c>
      <c r="I1" s="2" t="s">
        <v>3</v>
      </c>
      <c r="J1" s="8" t="s">
        <v>4</v>
      </c>
      <c r="K1" s="8" t="s">
        <v>5</v>
      </c>
      <c r="L1" s="8" t="s">
        <v>115</v>
      </c>
      <c r="M1" s="8" t="s">
        <v>114</v>
      </c>
      <c r="N1" s="2" t="s">
        <v>116</v>
      </c>
      <c r="O1" s="2" t="s">
        <v>117</v>
      </c>
      <c r="P1" s="2" t="s">
        <v>118</v>
      </c>
    </row>
    <row r="2" spans="1:16" x14ac:dyDescent="0.3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  <c r="G2" t="str">
        <f>VLOOKUP(InputData4[[#This Row],[PRODUCT ID]],MasterData[],2,0)</f>
        <v>Product24</v>
      </c>
      <c r="H2" t="str">
        <f>VLOOKUP(InputData4[[#This Row],[PRODUCT ID]],MasterData[],3,0)</f>
        <v>Category03</v>
      </c>
      <c r="I2" t="str">
        <f>VLOOKUP(InputData4[[#This Row],[PRODUCT ID]],MasterData[],4,0)</f>
        <v>Ft</v>
      </c>
      <c r="J2" s="9">
        <f>VLOOKUP(InputData4[[#This Row],[PRODUCT ID]],MasterData[],5,0)</f>
        <v>144</v>
      </c>
      <c r="K2" s="9">
        <f>VLOOKUP(InputData4[[#This Row],[PRODUCT ID]],MasterData[],6,0)</f>
        <v>156.96</v>
      </c>
      <c r="L2" s="9">
        <f>InputData4[[#This Row],[QUANTITY]]*InputData4[[#This Row],[BUYING PRIZE]]</f>
        <v>1296</v>
      </c>
      <c r="M2" s="9">
        <f>InputData4[[#This Row],[QUANTITY]]*InputData4[[#This Row],[SELLING PRICE]]*(1-InputData4[[#This Row],[DISCOUNT %]])</f>
        <v>1412.64</v>
      </c>
      <c r="N2" s="7">
        <f>DAY(InputData4[[#This Row],[DATE]])</f>
        <v>1</v>
      </c>
      <c r="O2" s="7">
        <f>MONTH(InputData4[[#This Row],[DATE]])</f>
        <v>1</v>
      </c>
      <c r="P2" s="7">
        <f>YEAR(InputData4[[#This Row],[DATE]])</f>
        <v>2021</v>
      </c>
    </row>
    <row r="3" spans="1:16" x14ac:dyDescent="0.3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  <c r="G3" t="str">
        <f>VLOOKUP(InputData4[[#This Row],[PRODUCT ID]],MasterData[],2,0)</f>
        <v>Product38</v>
      </c>
      <c r="H3" t="str">
        <f>VLOOKUP(InputData4[[#This Row],[PRODUCT ID]],MasterData[],3,0)</f>
        <v>Category05</v>
      </c>
      <c r="I3" t="str">
        <f>VLOOKUP(InputData4[[#This Row],[PRODUCT ID]],MasterData[],4,0)</f>
        <v>Kg</v>
      </c>
      <c r="J3" s="9">
        <f>VLOOKUP(InputData4[[#This Row],[PRODUCT ID]],MasterData[],5,0)</f>
        <v>72</v>
      </c>
      <c r="K3" s="9">
        <f>VLOOKUP(InputData4[[#This Row],[PRODUCT ID]],MasterData[],6,0)</f>
        <v>79.92</v>
      </c>
      <c r="L3" s="9">
        <f>InputData4[[#This Row],[QUANTITY]]*InputData4[[#This Row],[BUYING PRIZE]]</f>
        <v>1080</v>
      </c>
      <c r="M3" s="9">
        <f>InputData4[[#This Row],[QUANTITY]]*InputData4[[#This Row],[SELLING PRICE]]*(1-InputData4[[#This Row],[DISCOUNT %]])</f>
        <v>1198.8</v>
      </c>
      <c r="N3" s="7">
        <f>DAY(InputData4[[#This Row],[DATE]])</f>
        <v>2</v>
      </c>
      <c r="O3" s="7">
        <f>MONTH(InputData4[[#This Row],[DATE]])</f>
        <v>1</v>
      </c>
      <c r="P3" s="7">
        <f>YEAR(InputData4[[#This Row],[DATE]])</f>
        <v>2021</v>
      </c>
    </row>
    <row r="4" spans="1:16" x14ac:dyDescent="0.3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  <c r="G4" t="str">
        <f>VLOOKUP(InputData4[[#This Row],[PRODUCT ID]],MasterData[],2,0)</f>
        <v>Product13</v>
      </c>
      <c r="H4" t="str">
        <f>VLOOKUP(InputData4[[#This Row],[PRODUCT ID]],MasterData[],3,0)</f>
        <v>Category02</v>
      </c>
      <c r="I4" t="str">
        <f>VLOOKUP(InputData4[[#This Row],[PRODUCT ID]],MasterData[],4,0)</f>
        <v>Kg</v>
      </c>
      <c r="J4" s="9">
        <f>VLOOKUP(InputData4[[#This Row],[PRODUCT ID]],MasterData[],5,0)</f>
        <v>112</v>
      </c>
      <c r="K4" s="9">
        <f>VLOOKUP(InputData4[[#This Row],[PRODUCT ID]],MasterData[],6,0)</f>
        <v>122.08</v>
      </c>
      <c r="L4" s="9">
        <f>InputData4[[#This Row],[QUANTITY]]*InputData4[[#This Row],[BUYING PRIZE]]</f>
        <v>672</v>
      </c>
      <c r="M4" s="9">
        <f>InputData4[[#This Row],[QUANTITY]]*InputData4[[#This Row],[SELLING PRICE]]*(1-InputData4[[#This Row],[DISCOUNT %]])</f>
        <v>732.48</v>
      </c>
      <c r="N4" s="7">
        <f>DAY(InputData4[[#This Row],[DATE]])</f>
        <v>2</v>
      </c>
      <c r="O4" s="7">
        <f>MONTH(InputData4[[#This Row],[DATE]])</f>
        <v>1</v>
      </c>
      <c r="P4" s="7">
        <f>YEAR(InputData4[[#This Row],[DATE]])</f>
        <v>2021</v>
      </c>
    </row>
    <row r="5" spans="1:16" x14ac:dyDescent="0.3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  <c r="G5" t="str">
        <f>VLOOKUP(InputData4[[#This Row],[PRODUCT ID]],MasterData[],2,0)</f>
        <v>Product04</v>
      </c>
      <c r="H5" t="str">
        <f>VLOOKUP(InputData4[[#This Row],[PRODUCT ID]],MasterData[],3,0)</f>
        <v>Category01</v>
      </c>
      <c r="I5" t="str">
        <f>VLOOKUP(InputData4[[#This Row],[PRODUCT ID]],MasterData[],4,0)</f>
        <v>Lt</v>
      </c>
      <c r="J5" s="9">
        <f>VLOOKUP(InputData4[[#This Row],[PRODUCT ID]],MasterData[],5,0)</f>
        <v>44</v>
      </c>
      <c r="K5" s="9">
        <f>VLOOKUP(InputData4[[#This Row],[PRODUCT ID]],MasterData[],6,0)</f>
        <v>48.84</v>
      </c>
      <c r="L5" s="9">
        <f>InputData4[[#This Row],[QUANTITY]]*InputData4[[#This Row],[BUYING PRIZE]]</f>
        <v>220</v>
      </c>
      <c r="M5" s="9">
        <f>InputData4[[#This Row],[QUANTITY]]*InputData4[[#This Row],[SELLING PRICE]]*(1-InputData4[[#This Row],[DISCOUNT %]])</f>
        <v>244.20000000000002</v>
      </c>
      <c r="N5" s="7">
        <f>DAY(InputData4[[#This Row],[DATE]])</f>
        <v>3</v>
      </c>
      <c r="O5" s="7">
        <f>MONTH(InputData4[[#This Row],[DATE]])</f>
        <v>1</v>
      </c>
      <c r="P5" s="7">
        <f>YEAR(InputData4[[#This Row],[DATE]])</f>
        <v>2021</v>
      </c>
    </row>
    <row r="6" spans="1:16" x14ac:dyDescent="0.3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  <c r="G6" t="str">
        <f>VLOOKUP(InputData4[[#This Row],[PRODUCT ID]],MasterData[],2,0)</f>
        <v>Product35</v>
      </c>
      <c r="H6" t="str">
        <f>VLOOKUP(InputData4[[#This Row],[PRODUCT ID]],MasterData[],3,0)</f>
        <v>Category04</v>
      </c>
      <c r="I6" t="str">
        <f>VLOOKUP(InputData4[[#This Row],[PRODUCT ID]],MasterData[],4,0)</f>
        <v>No.</v>
      </c>
      <c r="J6" s="9">
        <f>VLOOKUP(InputData4[[#This Row],[PRODUCT ID]],MasterData[],5,0)</f>
        <v>5</v>
      </c>
      <c r="K6" s="9">
        <f>VLOOKUP(InputData4[[#This Row],[PRODUCT ID]],MasterData[],6,0)</f>
        <v>6.7</v>
      </c>
      <c r="L6" s="9">
        <f>InputData4[[#This Row],[QUANTITY]]*InputData4[[#This Row],[BUYING PRIZE]]</f>
        <v>60</v>
      </c>
      <c r="M6" s="9">
        <f>InputData4[[#This Row],[QUANTITY]]*InputData4[[#This Row],[SELLING PRICE]]*(1-InputData4[[#This Row],[DISCOUNT %]])</f>
        <v>80.400000000000006</v>
      </c>
      <c r="N6" s="7">
        <f>DAY(InputData4[[#This Row],[DATE]])</f>
        <v>4</v>
      </c>
      <c r="O6" s="7">
        <f>MONTH(InputData4[[#This Row],[DATE]])</f>
        <v>1</v>
      </c>
      <c r="P6" s="7">
        <f>YEAR(InputData4[[#This Row],[DATE]])</f>
        <v>2021</v>
      </c>
    </row>
    <row r="7" spans="1:16" x14ac:dyDescent="0.3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  <c r="G7" t="str">
        <f>VLOOKUP(InputData4[[#This Row],[PRODUCT ID]],MasterData[],2,0)</f>
        <v>Product31</v>
      </c>
      <c r="H7" t="str">
        <f>VLOOKUP(InputData4[[#This Row],[PRODUCT ID]],MasterData[],3,0)</f>
        <v>Category04</v>
      </c>
      <c r="I7" t="str">
        <f>VLOOKUP(InputData4[[#This Row],[PRODUCT ID]],MasterData[],4,0)</f>
        <v>Kg</v>
      </c>
      <c r="J7" s="9">
        <f>VLOOKUP(InputData4[[#This Row],[PRODUCT ID]],MasterData[],5,0)</f>
        <v>93</v>
      </c>
      <c r="K7" s="9">
        <f>VLOOKUP(InputData4[[#This Row],[PRODUCT ID]],MasterData[],6,0)</f>
        <v>104.16</v>
      </c>
      <c r="L7" s="9">
        <f>InputData4[[#This Row],[QUANTITY]]*InputData4[[#This Row],[BUYING PRIZE]]</f>
        <v>93</v>
      </c>
      <c r="M7" s="9">
        <f>InputData4[[#This Row],[QUANTITY]]*InputData4[[#This Row],[SELLING PRICE]]*(1-InputData4[[#This Row],[DISCOUNT %]])</f>
        <v>104.16</v>
      </c>
      <c r="N7" s="7">
        <f>DAY(InputData4[[#This Row],[DATE]])</f>
        <v>9</v>
      </c>
      <c r="O7" s="7">
        <f>MONTH(InputData4[[#This Row],[DATE]])</f>
        <v>1</v>
      </c>
      <c r="P7" s="7">
        <f>YEAR(InputData4[[#This Row],[DATE]])</f>
        <v>2021</v>
      </c>
    </row>
    <row r="8" spans="1:16" x14ac:dyDescent="0.3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  <c r="G8" t="str">
        <f>VLOOKUP(InputData4[[#This Row],[PRODUCT ID]],MasterData[],2,0)</f>
        <v>Product03</v>
      </c>
      <c r="H8" t="str">
        <f>VLOOKUP(InputData4[[#This Row],[PRODUCT ID]],MasterData[],3,0)</f>
        <v>Category01</v>
      </c>
      <c r="I8" t="str">
        <f>VLOOKUP(InputData4[[#This Row],[PRODUCT ID]],MasterData[],4,0)</f>
        <v>Kg</v>
      </c>
      <c r="J8" s="9">
        <f>VLOOKUP(InputData4[[#This Row],[PRODUCT ID]],MasterData[],5,0)</f>
        <v>71</v>
      </c>
      <c r="K8" s="9">
        <f>VLOOKUP(InputData4[[#This Row],[PRODUCT ID]],MasterData[],6,0)</f>
        <v>80.94</v>
      </c>
      <c r="L8" s="9">
        <f>InputData4[[#This Row],[QUANTITY]]*InputData4[[#This Row],[BUYING PRIZE]]</f>
        <v>568</v>
      </c>
      <c r="M8" s="9">
        <f>InputData4[[#This Row],[QUANTITY]]*InputData4[[#This Row],[SELLING PRICE]]*(1-InputData4[[#This Row],[DISCOUNT %]])</f>
        <v>647.52</v>
      </c>
      <c r="N8" s="7">
        <f>DAY(InputData4[[#This Row],[DATE]])</f>
        <v>9</v>
      </c>
      <c r="O8" s="7">
        <f>MONTH(InputData4[[#This Row],[DATE]])</f>
        <v>1</v>
      </c>
      <c r="P8" s="7">
        <f>YEAR(InputData4[[#This Row],[DATE]])</f>
        <v>2021</v>
      </c>
    </row>
    <row r="9" spans="1:16" x14ac:dyDescent="0.3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  <c r="G9" t="str">
        <f>VLOOKUP(InputData4[[#This Row],[PRODUCT ID]],MasterData[],2,0)</f>
        <v>Product25</v>
      </c>
      <c r="H9" t="str">
        <f>VLOOKUP(InputData4[[#This Row],[PRODUCT ID]],MasterData[],3,0)</f>
        <v>Category03</v>
      </c>
      <c r="I9" t="str">
        <f>VLOOKUP(InputData4[[#This Row],[PRODUCT ID]],MasterData[],4,0)</f>
        <v>No.</v>
      </c>
      <c r="J9" s="9">
        <f>VLOOKUP(InputData4[[#This Row],[PRODUCT ID]],MasterData[],5,0)</f>
        <v>7</v>
      </c>
      <c r="K9" s="9">
        <f>VLOOKUP(InputData4[[#This Row],[PRODUCT ID]],MasterData[],6,0)</f>
        <v>8.33</v>
      </c>
      <c r="L9" s="9">
        <f>InputData4[[#This Row],[QUANTITY]]*InputData4[[#This Row],[BUYING PRIZE]]</f>
        <v>28</v>
      </c>
      <c r="M9" s="9">
        <f>InputData4[[#This Row],[QUANTITY]]*InputData4[[#This Row],[SELLING PRICE]]*(1-InputData4[[#This Row],[DISCOUNT %]])</f>
        <v>33.32</v>
      </c>
      <c r="N9" s="7">
        <f>DAY(InputData4[[#This Row],[DATE]])</f>
        <v>9</v>
      </c>
      <c r="O9" s="7">
        <f>MONTH(InputData4[[#This Row],[DATE]])</f>
        <v>1</v>
      </c>
      <c r="P9" s="7">
        <f>YEAR(InputData4[[#This Row],[DATE]])</f>
        <v>2021</v>
      </c>
    </row>
    <row r="10" spans="1:16" x14ac:dyDescent="0.3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  <c r="G10" t="str">
        <f>VLOOKUP(InputData4[[#This Row],[PRODUCT ID]],MasterData[],2,0)</f>
        <v>Product37</v>
      </c>
      <c r="H10" t="str">
        <f>VLOOKUP(InputData4[[#This Row],[PRODUCT ID]],MasterData[],3,0)</f>
        <v>Category05</v>
      </c>
      <c r="I10" t="str">
        <f>VLOOKUP(InputData4[[#This Row],[PRODUCT ID]],MasterData[],4,0)</f>
        <v>Kg</v>
      </c>
      <c r="J10" s="9">
        <f>VLOOKUP(InputData4[[#This Row],[PRODUCT ID]],MasterData[],5,0)</f>
        <v>67</v>
      </c>
      <c r="K10" s="9">
        <f>VLOOKUP(InputData4[[#This Row],[PRODUCT ID]],MasterData[],6,0)</f>
        <v>85.76</v>
      </c>
      <c r="L10" s="9">
        <f>InputData4[[#This Row],[QUANTITY]]*InputData4[[#This Row],[BUYING PRIZE]]</f>
        <v>201</v>
      </c>
      <c r="M10" s="9">
        <f>InputData4[[#This Row],[QUANTITY]]*InputData4[[#This Row],[SELLING PRICE]]*(1-InputData4[[#This Row],[DISCOUNT %]])</f>
        <v>257.28000000000003</v>
      </c>
      <c r="N10" s="7">
        <f>DAY(InputData4[[#This Row],[DATE]])</f>
        <v>11</v>
      </c>
      <c r="O10" s="7">
        <f>MONTH(InputData4[[#This Row],[DATE]])</f>
        <v>1</v>
      </c>
      <c r="P10" s="7">
        <f>YEAR(InputData4[[#This Row],[DATE]])</f>
        <v>2021</v>
      </c>
    </row>
    <row r="11" spans="1:16" x14ac:dyDescent="0.3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  <c r="G11" t="str">
        <f>VLOOKUP(InputData4[[#This Row],[PRODUCT ID]],MasterData[],2,0)</f>
        <v>Product14</v>
      </c>
      <c r="H11" t="str">
        <f>VLOOKUP(InputData4[[#This Row],[PRODUCT ID]],MasterData[],3,0)</f>
        <v>Category02</v>
      </c>
      <c r="I11" t="str">
        <f>VLOOKUP(InputData4[[#This Row],[PRODUCT ID]],MasterData[],4,0)</f>
        <v>Kg</v>
      </c>
      <c r="J11" s="9">
        <f>VLOOKUP(InputData4[[#This Row],[PRODUCT ID]],MasterData[],5,0)</f>
        <v>112</v>
      </c>
      <c r="K11" s="9">
        <f>VLOOKUP(InputData4[[#This Row],[PRODUCT ID]],MasterData[],6,0)</f>
        <v>146.72</v>
      </c>
      <c r="L11" s="9">
        <f>InputData4[[#This Row],[QUANTITY]]*InputData4[[#This Row],[BUYING PRIZE]]</f>
        <v>448</v>
      </c>
      <c r="M11" s="9">
        <f>InputData4[[#This Row],[QUANTITY]]*InputData4[[#This Row],[SELLING PRICE]]*(1-InputData4[[#This Row],[DISCOUNT %]])</f>
        <v>586.88</v>
      </c>
      <c r="N11" s="7">
        <f>DAY(InputData4[[#This Row],[DATE]])</f>
        <v>11</v>
      </c>
      <c r="O11" s="7">
        <f>MONTH(InputData4[[#This Row],[DATE]])</f>
        <v>1</v>
      </c>
      <c r="P11" s="7">
        <f>YEAR(InputData4[[#This Row],[DATE]])</f>
        <v>2021</v>
      </c>
    </row>
    <row r="12" spans="1:16" x14ac:dyDescent="0.3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  <c r="G12" t="str">
        <f>VLOOKUP(InputData4[[#This Row],[PRODUCT ID]],MasterData[],2,0)</f>
        <v>Product42</v>
      </c>
      <c r="H12" t="str">
        <f>VLOOKUP(InputData4[[#This Row],[PRODUCT ID]],MasterData[],3,0)</f>
        <v>Category05</v>
      </c>
      <c r="I12" t="str">
        <f>VLOOKUP(InputData4[[#This Row],[PRODUCT ID]],MasterData[],4,0)</f>
        <v>Ft</v>
      </c>
      <c r="J12" s="9">
        <f>VLOOKUP(InputData4[[#This Row],[PRODUCT ID]],MasterData[],5,0)</f>
        <v>120</v>
      </c>
      <c r="K12" s="9">
        <f>VLOOKUP(InputData4[[#This Row],[PRODUCT ID]],MasterData[],6,0)</f>
        <v>162</v>
      </c>
      <c r="L12" s="9">
        <f>InputData4[[#This Row],[QUANTITY]]*InputData4[[#This Row],[BUYING PRIZE]]</f>
        <v>480</v>
      </c>
      <c r="M12" s="9">
        <f>InputData4[[#This Row],[QUANTITY]]*InputData4[[#This Row],[SELLING PRICE]]*(1-InputData4[[#This Row],[DISCOUNT %]])</f>
        <v>648</v>
      </c>
      <c r="N12" s="7">
        <f>DAY(InputData4[[#This Row],[DATE]])</f>
        <v>11</v>
      </c>
      <c r="O12" s="7">
        <f>MONTH(InputData4[[#This Row],[DATE]])</f>
        <v>1</v>
      </c>
      <c r="P12" s="7">
        <f>YEAR(InputData4[[#This Row],[DATE]])</f>
        <v>2021</v>
      </c>
    </row>
    <row r="13" spans="1:16" x14ac:dyDescent="0.3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  <c r="G13" t="str">
        <f>VLOOKUP(InputData4[[#This Row],[PRODUCT ID]],MasterData[],2,0)</f>
        <v>Product42</v>
      </c>
      <c r="H13" t="str">
        <f>VLOOKUP(InputData4[[#This Row],[PRODUCT ID]],MasterData[],3,0)</f>
        <v>Category05</v>
      </c>
      <c r="I13" t="str">
        <f>VLOOKUP(InputData4[[#This Row],[PRODUCT ID]],MasterData[],4,0)</f>
        <v>Ft</v>
      </c>
      <c r="J13" s="9">
        <f>VLOOKUP(InputData4[[#This Row],[PRODUCT ID]],MasterData[],5,0)</f>
        <v>120</v>
      </c>
      <c r="K13" s="9">
        <f>VLOOKUP(InputData4[[#This Row],[PRODUCT ID]],MasterData[],6,0)</f>
        <v>162</v>
      </c>
      <c r="L13" s="9">
        <f>InputData4[[#This Row],[QUANTITY]]*InputData4[[#This Row],[BUYING PRIZE]]</f>
        <v>1200</v>
      </c>
      <c r="M13" s="9">
        <f>InputData4[[#This Row],[QUANTITY]]*InputData4[[#This Row],[SELLING PRICE]]*(1-InputData4[[#This Row],[DISCOUNT %]])</f>
        <v>1620</v>
      </c>
      <c r="N13" s="7">
        <f>DAY(InputData4[[#This Row],[DATE]])</f>
        <v>12</v>
      </c>
      <c r="O13" s="7">
        <f>MONTH(InputData4[[#This Row],[DATE]])</f>
        <v>1</v>
      </c>
      <c r="P13" s="7">
        <f>YEAR(InputData4[[#This Row],[DATE]])</f>
        <v>2021</v>
      </c>
    </row>
    <row r="14" spans="1:16" x14ac:dyDescent="0.3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  <c r="G14" t="str">
        <f>VLOOKUP(InputData4[[#This Row],[PRODUCT ID]],MasterData[],2,0)</f>
        <v>Product44</v>
      </c>
      <c r="H14" t="str">
        <f>VLOOKUP(InputData4[[#This Row],[PRODUCT ID]],MasterData[],3,0)</f>
        <v>Category05</v>
      </c>
      <c r="I14" t="str">
        <f>VLOOKUP(InputData4[[#This Row],[PRODUCT ID]],MasterData[],4,0)</f>
        <v>Kg</v>
      </c>
      <c r="J14" s="9">
        <f>VLOOKUP(InputData4[[#This Row],[PRODUCT ID]],MasterData[],5,0)</f>
        <v>76</v>
      </c>
      <c r="K14" s="9">
        <f>VLOOKUP(InputData4[[#This Row],[PRODUCT ID]],MasterData[],6,0)</f>
        <v>82.08</v>
      </c>
      <c r="L14" s="9">
        <f>InputData4[[#This Row],[QUANTITY]]*InputData4[[#This Row],[BUYING PRIZE]]</f>
        <v>988</v>
      </c>
      <c r="M14" s="9">
        <f>InputData4[[#This Row],[QUANTITY]]*InputData4[[#This Row],[SELLING PRICE]]*(1-InputData4[[#This Row],[DISCOUNT %]])</f>
        <v>1067.04</v>
      </c>
      <c r="N14" s="7">
        <f>DAY(InputData4[[#This Row],[DATE]])</f>
        <v>18</v>
      </c>
      <c r="O14" s="7">
        <f>MONTH(InputData4[[#This Row],[DATE]])</f>
        <v>1</v>
      </c>
      <c r="P14" s="7">
        <f>YEAR(InputData4[[#This Row],[DATE]])</f>
        <v>2021</v>
      </c>
    </row>
    <row r="15" spans="1:16" x14ac:dyDescent="0.3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  <c r="G15" t="str">
        <f>VLOOKUP(InputData4[[#This Row],[PRODUCT ID]],MasterData[],2,0)</f>
        <v>Product23</v>
      </c>
      <c r="H15" t="str">
        <f>VLOOKUP(InputData4[[#This Row],[PRODUCT ID]],MasterData[],3,0)</f>
        <v>Category03</v>
      </c>
      <c r="I15" t="str">
        <f>VLOOKUP(InputData4[[#This Row],[PRODUCT ID]],MasterData[],4,0)</f>
        <v>Ft</v>
      </c>
      <c r="J15" s="9">
        <f>VLOOKUP(InputData4[[#This Row],[PRODUCT ID]],MasterData[],5,0)</f>
        <v>141</v>
      </c>
      <c r="K15" s="9">
        <f>VLOOKUP(InputData4[[#This Row],[PRODUCT ID]],MasterData[],6,0)</f>
        <v>149.46</v>
      </c>
      <c r="L15" s="9">
        <f>InputData4[[#This Row],[QUANTITY]]*InputData4[[#This Row],[BUYING PRIZE]]</f>
        <v>423</v>
      </c>
      <c r="M15" s="9">
        <f>InputData4[[#This Row],[QUANTITY]]*InputData4[[#This Row],[SELLING PRICE]]*(1-InputData4[[#This Row],[DISCOUNT %]])</f>
        <v>448.38</v>
      </c>
      <c r="N15" s="7">
        <f>DAY(InputData4[[#This Row],[DATE]])</f>
        <v>18</v>
      </c>
      <c r="O15" s="7">
        <f>MONTH(InputData4[[#This Row],[DATE]])</f>
        <v>1</v>
      </c>
      <c r="P15" s="7">
        <f>YEAR(InputData4[[#This Row],[DATE]])</f>
        <v>2021</v>
      </c>
    </row>
    <row r="16" spans="1:16" x14ac:dyDescent="0.3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  <c r="G16" t="str">
        <f>VLOOKUP(InputData4[[#This Row],[PRODUCT ID]],MasterData[],2,0)</f>
        <v>Product35</v>
      </c>
      <c r="H16" t="str">
        <f>VLOOKUP(InputData4[[#This Row],[PRODUCT ID]],MasterData[],3,0)</f>
        <v>Category04</v>
      </c>
      <c r="I16" t="str">
        <f>VLOOKUP(InputData4[[#This Row],[PRODUCT ID]],MasterData[],4,0)</f>
        <v>No.</v>
      </c>
      <c r="J16" s="9">
        <f>VLOOKUP(InputData4[[#This Row],[PRODUCT ID]],MasterData[],5,0)</f>
        <v>5</v>
      </c>
      <c r="K16" s="9">
        <f>VLOOKUP(InputData4[[#This Row],[PRODUCT ID]],MasterData[],6,0)</f>
        <v>6.7</v>
      </c>
      <c r="L16" s="9">
        <f>InputData4[[#This Row],[QUANTITY]]*InputData4[[#This Row],[BUYING PRIZE]]</f>
        <v>30</v>
      </c>
      <c r="M16" s="9">
        <f>InputData4[[#This Row],[QUANTITY]]*InputData4[[#This Row],[SELLING PRICE]]*(1-InputData4[[#This Row],[DISCOUNT %]])</f>
        <v>40.200000000000003</v>
      </c>
      <c r="N16" s="7">
        <f>DAY(InputData4[[#This Row],[DATE]])</f>
        <v>19</v>
      </c>
      <c r="O16" s="7">
        <f>MONTH(InputData4[[#This Row],[DATE]])</f>
        <v>1</v>
      </c>
      <c r="P16" s="7">
        <f>YEAR(InputData4[[#This Row],[DATE]])</f>
        <v>2021</v>
      </c>
    </row>
    <row r="17" spans="1:16" x14ac:dyDescent="0.3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  <c r="G17" t="str">
        <f>VLOOKUP(InputData4[[#This Row],[PRODUCT ID]],MasterData[],2,0)</f>
        <v>Product34</v>
      </c>
      <c r="H17" t="str">
        <f>VLOOKUP(InputData4[[#This Row],[PRODUCT ID]],MasterData[],3,0)</f>
        <v>Category04</v>
      </c>
      <c r="I17" t="str">
        <f>VLOOKUP(InputData4[[#This Row],[PRODUCT ID]],MasterData[],4,0)</f>
        <v>Lt</v>
      </c>
      <c r="J17" s="9">
        <f>VLOOKUP(InputData4[[#This Row],[PRODUCT ID]],MasterData[],5,0)</f>
        <v>55</v>
      </c>
      <c r="K17" s="9">
        <f>VLOOKUP(InputData4[[#This Row],[PRODUCT ID]],MasterData[],6,0)</f>
        <v>58.3</v>
      </c>
      <c r="L17" s="9">
        <f>InputData4[[#This Row],[QUANTITY]]*InputData4[[#This Row],[BUYING PRIZE]]</f>
        <v>220</v>
      </c>
      <c r="M17" s="9">
        <f>InputData4[[#This Row],[QUANTITY]]*InputData4[[#This Row],[SELLING PRICE]]*(1-InputData4[[#This Row],[DISCOUNT %]])</f>
        <v>233.2</v>
      </c>
      <c r="N17" s="7">
        <f>DAY(InputData4[[#This Row],[DATE]])</f>
        <v>20</v>
      </c>
      <c r="O17" s="7">
        <f>MONTH(InputData4[[#This Row],[DATE]])</f>
        <v>1</v>
      </c>
      <c r="P17" s="7">
        <f>YEAR(InputData4[[#This Row],[DATE]])</f>
        <v>2021</v>
      </c>
    </row>
    <row r="18" spans="1:16" x14ac:dyDescent="0.3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  <c r="G18" t="str">
        <f>VLOOKUP(InputData4[[#This Row],[PRODUCT ID]],MasterData[],2,0)</f>
        <v>Product20</v>
      </c>
      <c r="H18" t="str">
        <f>VLOOKUP(InputData4[[#This Row],[PRODUCT ID]],MasterData[],3,0)</f>
        <v>Category03</v>
      </c>
      <c r="I18" t="str">
        <f>VLOOKUP(InputData4[[#This Row],[PRODUCT ID]],MasterData[],4,0)</f>
        <v>Lt</v>
      </c>
      <c r="J18" s="9">
        <f>VLOOKUP(InputData4[[#This Row],[PRODUCT ID]],MasterData[],5,0)</f>
        <v>61</v>
      </c>
      <c r="K18" s="9">
        <f>VLOOKUP(InputData4[[#This Row],[PRODUCT ID]],MasterData[],6,0)</f>
        <v>76.25</v>
      </c>
      <c r="L18" s="9">
        <f>InputData4[[#This Row],[QUANTITY]]*InputData4[[#This Row],[BUYING PRIZE]]</f>
        <v>244</v>
      </c>
      <c r="M18" s="9">
        <f>InputData4[[#This Row],[QUANTITY]]*InputData4[[#This Row],[SELLING PRICE]]*(1-InputData4[[#This Row],[DISCOUNT %]])</f>
        <v>305</v>
      </c>
      <c r="N18" s="7">
        <f>DAY(InputData4[[#This Row],[DATE]])</f>
        <v>20</v>
      </c>
      <c r="O18" s="7">
        <f>MONTH(InputData4[[#This Row],[DATE]])</f>
        <v>1</v>
      </c>
      <c r="P18" s="7">
        <f>YEAR(InputData4[[#This Row],[DATE]])</f>
        <v>2021</v>
      </c>
    </row>
    <row r="19" spans="1:16" x14ac:dyDescent="0.3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  <c r="G19" t="str">
        <f>VLOOKUP(InputData4[[#This Row],[PRODUCT ID]],MasterData[],2,0)</f>
        <v>Product04</v>
      </c>
      <c r="H19" t="str">
        <f>VLOOKUP(InputData4[[#This Row],[PRODUCT ID]],MasterData[],3,0)</f>
        <v>Category01</v>
      </c>
      <c r="I19" t="str">
        <f>VLOOKUP(InputData4[[#This Row],[PRODUCT ID]],MasterData[],4,0)</f>
        <v>Lt</v>
      </c>
      <c r="J19" s="9">
        <f>VLOOKUP(InputData4[[#This Row],[PRODUCT ID]],MasterData[],5,0)</f>
        <v>44</v>
      </c>
      <c r="K19" s="9">
        <f>VLOOKUP(InputData4[[#This Row],[PRODUCT ID]],MasterData[],6,0)</f>
        <v>48.84</v>
      </c>
      <c r="L19" s="9">
        <f>InputData4[[#This Row],[QUANTITY]]*InputData4[[#This Row],[BUYING PRIZE]]</f>
        <v>660</v>
      </c>
      <c r="M19" s="9">
        <f>InputData4[[#This Row],[QUANTITY]]*InputData4[[#This Row],[SELLING PRICE]]*(1-InputData4[[#This Row],[DISCOUNT %]])</f>
        <v>732.6</v>
      </c>
      <c r="N19" s="7">
        <f>DAY(InputData4[[#This Row],[DATE]])</f>
        <v>21</v>
      </c>
      <c r="O19" s="7">
        <f>MONTH(InputData4[[#This Row],[DATE]])</f>
        <v>1</v>
      </c>
      <c r="P19" s="7">
        <f>YEAR(InputData4[[#This Row],[DATE]])</f>
        <v>2021</v>
      </c>
    </row>
    <row r="20" spans="1:16" x14ac:dyDescent="0.3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  <c r="G20" t="str">
        <f>VLOOKUP(InputData4[[#This Row],[PRODUCT ID]],MasterData[],2,0)</f>
        <v>Product03</v>
      </c>
      <c r="H20" t="str">
        <f>VLOOKUP(InputData4[[#This Row],[PRODUCT ID]],MasterData[],3,0)</f>
        <v>Category01</v>
      </c>
      <c r="I20" t="str">
        <f>VLOOKUP(InputData4[[#This Row],[PRODUCT ID]],MasterData[],4,0)</f>
        <v>Kg</v>
      </c>
      <c r="J20" s="9">
        <f>VLOOKUP(InputData4[[#This Row],[PRODUCT ID]],MasterData[],5,0)</f>
        <v>71</v>
      </c>
      <c r="K20" s="9">
        <f>VLOOKUP(InputData4[[#This Row],[PRODUCT ID]],MasterData[],6,0)</f>
        <v>80.94</v>
      </c>
      <c r="L20" s="9">
        <f>InputData4[[#This Row],[QUANTITY]]*InputData4[[#This Row],[BUYING PRIZE]]</f>
        <v>639</v>
      </c>
      <c r="M20" s="9">
        <f>InputData4[[#This Row],[QUANTITY]]*InputData4[[#This Row],[SELLING PRICE]]*(1-InputData4[[#This Row],[DISCOUNT %]])</f>
        <v>728.46</v>
      </c>
      <c r="N20" s="7">
        <f>DAY(InputData4[[#This Row],[DATE]])</f>
        <v>21</v>
      </c>
      <c r="O20" s="7">
        <f>MONTH(InputData4[[#This Row],[DATE]])</f>
        <v>1</v>
      </c>
      <c r="P20" s="7">
        <f>YEAR(InputData4[[#This Row],[DATE]])</f>
        <v>2021</v>
      </c>
    </row>
    <row r="21" spans="1:16" x14ac:dyDescent="0.3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  <c r="G21" t="str">
        <f>VLOOKUP(InputData4[[#This Row],[PRODUCT ID]],MasterData[],2,0)</f>
        <v>Product42</v>
      </c>
      <c r="H21" t="str">
        <f>VLOOKUP(InputData4[[#This Row],[PRODUCT ID]],MasterData[],3,0)</f>
        <v>Category05</v>
      </c>
      <c r="I21" t="str">
        <f>VLOOKUP(InputData4[[#This Row],[PRODUCT ID]],MasterData[],4,0)</f>
        <v>Ft</v>
      </c>
      <c r="J21" s="9">
        <f>VLOOKUP(InputData4[[#This Row],[PRODUCT ID]],MasterData[],5,0)</f>
        <v>120</v>
      </c>
      <c r="K21" s="9">
        <f>VLOOKUP(InputData4[[#This Row],[PRODUCT ID]],MasterData[],6,0)</f>
        <v>162</v>
      </c>
      <c r="L21" s="9">
        <f>InputData4[[#This Row],[QUANTITY]]*InputData4[[#This Row],[BUYING PRIZE]]</f>
        <v>720</v>
      </c>
      <c r="M21" s="9">
        <f>InputData4[[#This Row],[QUANTITY]]*InputData4[[#This Row],[SELLING PRICE]]*(1-InputData4[[#This Row],[DISCOUNT %]])</f>
        <v>972</v>
      </c>
      <c r="N21" s="7">
        <f>DAY(InputData4[[#This Row],[DATE]])</f>
        <v>21</v>
      </c>
      <c r="O21" s="7">
        <f>MONTH(InputData4[[#This Row],[DATE]])</f>
        <v>1</v>
      </c>
      <c r="P21" s="7">
        <f>YEAR(InputData4[[#This Row],[DATE]])</f>
        <v>2021</v>
      </c>
    </row>
    <row r="22" spans="1:16" x14ac:dyDescent="0.3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  <c r="G22" t="str">
        <f>VLOOKUP(InputData4[[#This Row],[PRODUCT ID]],MasterData[],2,0)</f>
        <v>Product34</v>
      </c>
      <c r="H22" t="str">
        <f>VLOOKUP(InputData4[[#This Row],[PRODUCT ID]],MasterData[],3,0)</f>
        <v>Category04</v>
      </c>
      <c r="I22" t="str">
        <f>VLOOKUP(InputData4[[#This Row],[PRODUCT ID]],MasterData[],4,0)</f>
        <v>Lt</v>
      </c>
      <c r="J22" s="9">
        <f>VLOOKUP(InputData4[[#This Row],[PRODUCT ID]],MasterData[],5,0)</f>
        <v>55</v>
      </c>
      <c r="K22" s="9">
        <f>VLOOKUP(InputData4[[#This Row],[PRODUCT ID]],MasterData[],6,0)</f>
        <v>58.3</v>
      </c>
      <c r="L22" s="9">
        <f>InputData4[[#This Row],[QUANTITY]]*InputData4[[#This Row],[BUYING PRIZE]]</f>
        <v>330</v>
      </c>
      <c r="M22" s="9">
        <f>InputData4[[#This Row],[QUANTITY]]*InputData4[[#This Row],[SELLING PRICE]]*(1-InputData4[[#This Row],[DISCOUNT %]])</f>
        <v>349.79999999999995</v>
      </c>
      <c r="N22" s="7">
        <f>DAY(InputData4[[#This Row],[DATE]])</f>
        <v>25</v>
      </c>
      <c r="O22" s="7">
        <f>MONTH(InputData4[[#This Row],[DATE]])</f>
        <v>1</v>
      </c>
      <c r="P22" s="7">
        <f>YEAR(InputData4[[#This Row],[DATE]])</f>
        <v>2021</v>
      </c>
    </row>
    <row r="23" spans="1:16" x14ac:dyDescent="0.3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  <c r="G23" t="str">
        <f>VLOOKUP(InputData4[[#This Row],[PRODUCT ID]],MasterData[],2,0)</f>
        <v>Product35</v>
      </c>
      <c r="H23" t="str">
        <f>VLOOKUP(InputData4[[#This Row],[PRODUCT ID]],MasterData[],3,0)</f>
        <v>Category04</v>
      </c>
      <c r="I23" t="str">
        <f>VLOOKUP(InputData4[[#This Row],[PRODUCT ID]],MasterData[],4,0)</f>
        <v>No.</v>
      </c>
      <c r="J23" s="9">
        <f>VLOOKUP(InputData4[[#This Row],[PRODUCT ID]],MasterData[],5,0)</f>
        <v>5</v>
      </c>
      <c r="K23" s="9">
        <f>VLOOKUP(InputData4[[#This Row],[PRODUCT ID]],MasterData[],6,0)</f>
        <v>6.7</v>
      </c>
      <c r="L23" s="9">
        <f>InputData4[[#This Row],[QUANTITY]]*InputData4[[#This Row],[BUYING PRIZE]]</f>
        <v>35</v>
      </c>
      <c r="M23" s="9">
        <f>InputData4[[#This Row],[QUANTITY]]*InputData4[[#This Row],[SELLING PRICE]]*(1-InputData4[[#This Row],[DISCOUNT %]])</f>
        <v>46.9</v>
      </c>
      <c r="N23" s="7">
        <f>DAY(InputData4[[#This Row],[DATE]])</f>
        <v>25</v>
      </c>
      <c r="O23" s="7">
        <f>MONTH(InputData4[[#This Row],[DATE]])</f>
        <v>1</v>
      </c>
      <c r="P23" s="7">
        <f>YEAR(InputData4[[#This Row],[DATE]])</f>
        <v>2021</v>
      </c>
    </row>
    <row r="24" spans="1:16" x14ac:dyDescent="0.3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  <c r="G24" t="str">
        <f>VLOOKUP(InputData4[[#This Row],[PRODUCT ID]],MasterData[],2,0)</f>
        <v>Product31</v>
      </c>
      <c r="H24" t="str">
        <f>VLOOKUP(InputData4[[#This Row],[PRODUCT ID]],MasterData[],3,0)</f>
        <v>Category04</v>
      </c>
      <c r="I24" t="str">
        <f>VLOOKUP(InputData4[[#This Row],[PRODUCT ID]],MasterData[],4,0)</f>
        <v>Kg</v>
      </c>
      <c r="J24" s="9">
        <f>VLOOKUP(InputData4[[#This Row],[PRODUCT ID]],MasterData[],5,0)</f>
        <v>93</v>
      </c>
      <c r="K24" s="9">
        <f>VLOOKUP(InputData4[[#This Row],[PRODUCT ID]],MasterData[],6,0)</f>
        <v>104.16</v>
      </c>
      <c r="L24" s="9">
        <f>InputData4[[#This Row],[QUANTITY]]*InputData4[[#This Row],[BUYING PRIZE]]</f>
        <v>1302</v>
      </c>
      <c r="M24" s="9">
        <f>InputData4[[#This Row],[QUANTITY]]*InputData4[[#This Row],[SELLING PRICE]]*(1-InputData4[[#This Row],[DISCOUNT %]])</f>
        <v>1458.24</v>
      </c>
      <c r="N24" s="7">
        <f>DAY(InputData4[[#This Row],[DATE]])</f>
        <v>25</v>
      </c>
      <c r="O24" s="7">
        <f>MONTH(InputData4[[#This Row],[DATE]])</f>
        <v>1</v>
      </c>
      <c r="P24" s="7">
        <f>YEAR(InputData4[[#This Row],[DATE]])</f>
        <v>2021</v>
      </c>
    </row>
    <row r="25" spans="1:16" x14ac:dyDescent="0.3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  <c r="G25" t="str">
        <f>VLOOKUP(InputData4[[#This Row],[PRODUCT ID]],MasterData[],2,0)</f>
        <v>Product44</v>
      </c>
      <c r="H25" t="str">
        <f>VLOOKUP(InputData4[[#This Row],[PRODUCT ID]],MasterData[],3,0)</f>
        <v>Category05</v>
      </c>
      <c r="I25" t="str">
        <f>VLOOKUP(InputData4[[#This Row],[PRODUCT ID]],MasterData[],4,0)</f>
        <v>Kg</v>
      </c>
      <c r="J25" s="9">
        <f>VLOOKUP(InputData4[[#This Row],[PRODUCT ID]],MasterData[],5,0)</f>
        <v>76</v>
      </c>
      <c r="K25" s="9">
        <f>VLOOKUP(InputData4[[#This Row],[PRODUCT ID]],MasterData[],6,0)</f>
        <v>82.08</v>
      </c>
      <c r="L25" s="9">
        <f>InputData4[[#This Row],[QUANTITY]]*InputData4[[#This Row],[BUYING PRIZE]]</f>
        <v>684</v>
      </c>
      <c r="M25" s="9">
        <f>InputData4[[#This Row],[QUANTITY]]*InputData4[[#This Row],[SELLING PRICE]]*(1-InputData4[[#This Row],[DISCOUNT %]])</f>
        <v>738.72</v>
      </c>
      <c r="N25" s="7">
        <f>DAY(InputData4[[#This Row],[DATE]])</f>
        <v>26</v>
      </c>
      <c r="O25" s="7">
        <f>MONTH(InputData4[[#This Row],[DATE]])</f>
        <v>1</v>
      </c>
      <c r="P25" s="7">
        <f>YEAR(InputData4[[#This Row],[DATE]])</f>
        <v>2021</v>
      </c>
    </row>
    <row r="26" spans="1:16" x14ac:dyDescent="0.3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  <c r="G26" t="str">
        <f>VLOOKUP(InputData4[[#This Row],[PRODUCT ID]],MasterData[],2,0)</f>
        <v>Product06</v>
      </c>
      <c r="H26" t="str">
        <f>VLOOKUP(InputData4[[#This Row],[PRODUCT ID]],MasterData[],3,0)</f>
        <v>Category01</v>
      </c>
      <c r="I26" t="str">
        <f>VLOOKUP(InputData4[[#This Row],[PRODUCT ID]],MasterData[],4,0)</f>
        <v>Kg</v>
      </c>
      <c r="J26" s="9">
        <f>VLOOKUP(InputData4[[#This Row],[PRODUCT ID]],MasterData[],5,0)</f>
        <v>75</v>
      </c>
      <c r="K26" s="9">
        <f>VLOOKUP(InputData4[[#This Row],[PRODUCT ID]],MasterData[],6,0)</f>
        <v>85.5</v>
      </c>
      <c r="L26" s="9">
        <f>InputData4[[#This Row],[QUANTITY]]*InputData4[[#This Row],[BUYING PRIZE]]</f>
        <v>525</v>
      </c>
      <c r="M26" s="9">
        <f>InputData4[[#This Row],[QUANTITY]]*InputData4[[#This Row],[SELLING PRICE]]*(1-InputData4[[#This Row],[DISCOUNT %]])</f>
        <v>598.5</v>
      </c>
      <c r="N26" s="7">
        <f>DAY(InputData4[[#This Row],[DATE]])</f>
        <v>26</v>
      </c>
      <c r="O26" s="7">
        <f>MONTH(InputData4[[#This Row],[DATE]])</f>
        <v>1</v>
      </c>
      <c r="P26" s="7">
        <f>YEAR(InputData4[[#This Row],[DATE]])</f>
        <v>2021</v>
      </c>
    </row>
    <row r="27" spans="1:16" x14ac:dyDescent="0.3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  <c r="G27" t="str">
        <f>VLOOKUP(InputData4[[#This Row],[PRODUCT ID]],MasterData[],2,0)</f>
        <v>Product01</v>
      </c>
      <c r="H27" t="str">
        <f>VLOOKUP(InputData4[[#This Row],[PRODUCT ID]],MasterData[],3,0)</f>
        <v>Category01</v>
      </c>
      <c r="I27" t="str">
        <f>VLOOKUP(InputData4[[#This Row],[PRODUCT ID]],MasterData[],4,0)</f>
        <v>Kg</v>
      </c>
      <c r="J27" s="9">
        <f>VLOOKUP(InputData4[[#This Row],[PRODUCT ID]],MasterData[],5,0)</f>
        <v>98</v>
      </c>
      <c r="K27" s="9">
        <f>VLOOKUP(InputData4[[#This Row],[PRODUCT ID]],MasterData[],6,0)</f>
        <v>103.88</v>
      </c>
      <c r="L27" s="9">
        <f>InputData4[[#This Row],[QUANTITY]]*InputData4[[#This Row],[BUYING PRIZE]]</f>
        <v>686</v>
      </c>
      <c r="M27" s="9">
        <f>InputData4[[#This Row],[QUANTITY]]*InputData4[[#This Row],[SELLING PRICE]]*(1-InputData4[[#This Row],[DISCOUNT %]])</f>
        <v>727.16</v>
      </c>
      <c r="N27" s="7">
        <f>DAY(InputData4[[#This Row],[DATE]])</f>
        <v>26</v>
      </c>
      <c r="O27" s="7">
        <f>MONTH(InputData4[[#This Row],[DATE]])</f>
        <v>1</v>
      </c>
      <c r="P27" s="7">
        <f>YEAR(InputData4[[#This Row],[DATE]])</f>
        <v>2021</v>
      </c>
    </row>
    <row r="28" spans="1:16" x14ac:dyDescent="0.3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  <c r="G28" t="str">
        <f>VLOOKUP(InputData4[[#This Row],[PRODUCT ID]],MasterData[],2,0)</f>
        <v>Product40</v>
      </c>
      <c r="H28" t="str">
        <f>VLOOKUP(InputData4[[#This Row],[PRODUCT ID]],MasterData[],3,0)</f>
        <v>Category05</v>
      </c>
      <c r="I28" t="str">
        <f>VLOOKUP(InputData4[[#This Row],[PRODUCT ID]],MasterData[],4,0)</f>
        <v>Kg</v>
      </c>
      <c r="J28" s="9">
        <f>VLOOKUP(InputData4[[#This Row],[PRODUCT ID]],MasterData[],5,0)</f>
        <v>90</v>
      </c>
      <c r="K28" s="9">
        <f>VLOOKUP(InputData4[[#This Row],[PRODUCT ID]],MasterData[],6,0)</f>
        <v>115.2</v>
      </c>
      <c r="L28" s="9">
        <f>InputData4[[#This Row],[QUANTITY]]*InputData4[[#This Row],[BUYING PRIZE]]</f>
        <v>630</v>
      </c>
      <c r="M28" s="9">
        <f>InputData4[[#This Row],[QUANTITY]]*InputData4[[#This Row],[SELLING PRICE]]*(1-InputData4[[#This Row],[DISCOUNT %]])</f>
        <v>806.4</v>
      </c>
      <c r="N28" s="7">
        <f>DAY(InputData4[[#This Row],[DATE]])</f>
        <v>27</v>
      </c>
      <c r="O28" s="7">
        <f>MONTH(InputData4[[#This Row],[DATE]])</f>
        <v>1</v>
      </c>
      <c r="P28" s="7">
        <f>YEAR(InputData4[[#This Row],[DATE]])</f>
        <v>2021</v>
      </c>
    </row>
    <row r="29" spans="1:16" x14ac:dyDescent="0.3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  <c r="G29" t="str">
        <f>VLOOKUP(InputData4[[#This Row],[PRODUCT ID]],MasterData[],2,0)</f>
        <v>Product32</v>
      </c>
      <c r="H29" t="str">
        <f>VLOOKUP(InputData4[[#This Row],[PRODUCT ID]],MasterData[],3,0)</f>
        <v>Category04</v>
      </c>
      <c r="I29" t="str">
        <f>VLOOKUP(InputData4[[#This Row],[PRODUCT ID]],MasterData[],4,0)</f>
        <v>Kg</v>
      </c>
      <c r="J29" s="9">
        <f>VLOOKUP(InputData4[[#This Row],[PRODUCT ID]],MasterData[],5,0)</f>
        <v>89</v>
      </c>
      <c r="K29" s="9">
        <f>VLOOKUP(InputData4[[#This Row],[PRODUCT ID]],MasterData[],6,0)</f>
        <v>117.48</v>
      </c>
      <c r="L29" s="9">
        <f>InputData4[[#This Row],[QUANTITY]]*InputData4[[#This Row],[BUYING PRIZE]]</f>
        <v>267</v>
      </c>
      <c r="M29" s="9">
        <f>InputData4[[#This Row],[QUANTITY]]*InputData4[[#This Row],[SELLING PRICE]]*(1-InputData4[[#This Row],[DISCOUNT %]])</f>
        <v>352.44</v>
      </c>
      <c r="N29" s="7">
        <f>DAY(InputData4[[#This Row],[DATE]])</f>
        <v>27</v>
      </c>
      <c r="O29" s="7">
        <f>MONTH(InputData4[[#This Row],[DATE]])</f>
        <v>1</v>
      </c>
      <c r="P29" s="7">
        <f>YEAR(InputData4[[#This Row],[DATE]])</f>
        <v>2021</v>
      </c>
    </row>
    <row r="30" spans="1:16" x14ac:dyDescent="0.3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  <c r="G30" t="str">
        <f>VLOOKUP(InputData4[[#This Row],[PRODUCT ID]],MasterData[],2,0)</f>
        <v>Product04</v>
      </c>
      <c r="H30" t="str">
        <f>VLOOKUP(InputData4[[#This Row],[PRODUCT ID]],MasterData[],3,0)</f>
        <v>Category01</v>
      </c>
      <c r="I30" t="str">
        <f>VLOOKUP(InputData4[[#This Row],[PRODUCT ID]],MasterData[],4,0)</f>
        <v>Lt</v>
      </c>
      <c r="J30" s="9">
        <f>VLOOKUP(InputData4[[#This Row],[PRODUCT ID]],MasterData[],5,0)</f>
        <v>44</v>
      </c>
      <c r="K30" s="9">
        <f>VLOOKUP(InputData4[[#This Row],[PRODUCT ID]],MasterData[],6,0)</f>
        <v>48.84</v>
      </c>
      <c r="L30" s="9">
        <f>InputData4[[#This Row],[QUANTITY]]*InputData4[[#This Row],[BUYING PRIZE]]</f>
        <v>440</v>
      </c>
      <c r="M30" s="9">
        <f>InputData4[[#This Row],[QUANTITY]]*InputData4[[#This Row],[SELLING PRICE]]*(1-InputData4[[#This Row],[DISCOUNT %]])</f>
        <v>488.40000000000003</v>
      </c>
      <c r="N30" s="7">
        <f>DAY(InputData4[[#This Row],[DATE]])</f>
        <v>28</v>
      </c>
      <c r="O30" s="7">
        <f>MONTH(InputData4[[#This Row],[DATE]])</f>
        <v>1</v>
      </c>
      <c r="P30" s="7">
        <f>YEAR(InputData4[[#This Row],[DATE]])</f>
        <v>2021</v>
      </c>
    </row>
    <row r="31" spans="1:16" x14ac:dyDescent="0.3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  <c r="G31" t="str">
        <f>VLOOKUP(InputData4[[#This Row],[PRODUCT ID]],MasterData[],2,0)</f>
        <v>Product29</v>
      </c>
      <c r="H31" t="str">
        <f>VLOOKUP(InputData4[[#This Row],[PRODUCT ID]],MasterData[],3,0)</f>
        <v>Category04</v>
      </c>
      <c r="I31" t="str">
        <f>VLOOKUP(InputData4[[#This Row],[PRODUCT ID]],MasterData[],4,0)</f>
        <v>Lt</v>
      </c>
      <c r="J31" s="9">
        <f>VLOOKUP(InputData4[[#This Row],[PRODUCT ID]],MasterData[],5,0)</f>
        <v>47</v>
      </c>
      <c r="K31" s="9">
        <f>VLOOKUP(InputData4[[#This Row],[PRODUCT ID]],MasterData[],6,0)</f>
        <v>53.11</v>
      </c>
      <c r="L31" s="9">
        <f>InputData4[[#This Row],[QUANTITY]]*InputData4[[#This Row],[BUYING PRIZE]]</f>
        <v>94</v>
      </c>
      <c r="M31" s="9">
        <f>InputData4[[#This Row],[QUANTITY]]*InputData4[[#This Row],[SELLING PRICE]]*(1-InputData4[[#This Row],[DISCOUNT %]])</f>
        <v>106.22</v>
      </c>
      <c r="N31" s="7">
        <f>DAY(InputData4[[#This Row],[DATE]])</f>
        <v>28</v>
      </c>
      <c r="O31" s="7">
        <f>MONTH(InputData4[[#This Row],[DATE]])</f>
        <v>1</v>
      </c>
      <c r="P31" s="7">
        <f>YEAR(InputData4[[#This Row],[DATE]])</f>
        <v>2021</v>
      </c>
    </row>
    <row r="32" spans="1:16" x14ac:dyDescent="0.3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  <c r="G32" t="str">
        <f>VLOOKUP(InputData4[[#This Row],[PRODUCT ID]],MasterData[],2,0)</f>
        <v>Product10</v>
      </c>
      <c r="H32" t="str">
        <f>VLOOKUP(InputData4[[#This Row],[PRODUCT ID]],MasterData[],3,0)</f>
        <v>Category02</v>
      </c>
      <c r="I32" t="str">
        <f>VLOOKUP(InputData4[[#This Row],[PRODUCT ID]],MasterData[],4,0)</f>
        <v>Ft</v>
      </c>
      <c r="J32" s="9">
        <f>VLOOKUP(InputData4[[#This Row],[PRODUCT ID]],MasterData[],5,0)</f>
        <v>148</v>
      </c>
      <c r="K32" s="9">
        <f>VLOOKUP(InputData4[[#This Row],[PRODUCT ID]],MasterData[],6,0)</f>
        <v>164.28</v>
      </c>
      <c r="L32" s="9">
        <f>InputData4[[#This Row],[QUANTITY]]*InputData4[[#This Row],[BUYING PRIZE]]</f>
        <v>1036</v>
      </c>
      <c r="M32" s="9">
        <f>InputData4[[#This Row],[QUANTITY]]*InputData4[[#This Row],[SELLING PRICE]]*(1-InputData4[[#This Row],[DISCOUNT %]])</f>
        <v>1149.96</v>
      </c>
      <c r="N32" s="7">
        <f>DAY(InputData4[[#This Row],[DATE]])</f>
        <v>2</v>
      </c>
      <c r="O32" s="7">
        <f>MONTH(InputData4[[#This Row],[DATE]])</f>
        <v>2</v>
      </c>
      <c r="P32" s="7">
        <f>YEAR(InputData4[[#This Row],[DATE]])</f>
        <v>2021</v>
      </c>
    </row>
    <row r="33" spans="1:16" x14ac:dyDescent="0.3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  <c r="G33" t="str">
        <f>VLOOKUP(InputData4[[#This Row],[PRODUCT ID]],MasterData[],2,0)</f>
        <v>Product16</v>
      </c>
      <c r="H33" t="str">
        <f>VLOOKUP(InputData4[[#This Row],[PRODUCT ID]],MasterData[],3,0)</f>
        <v>Category02</v>
      </c>
      <c r="I33" t="str">
        <f>VLOOKUP(InputData4[[#This Row],[PRODUCT ID]],MasterData[],4,0)</f>
        <v>No.</v>
      </c>
      <c r="J33" s="9">
        <f>VLOOKUP(InputData4[[#This Row],[PRODUCT ID]],MasterData[],5,0)</f>
        <v>13</v>
      </c>
      <c r="K33" s="9">
        <f>VLOOKUP(InputData4[[#This Row],[PRODUCT ID]],MasterData[],6,0)</f>
        <v>16.64</v>
      </c>
      <c r="L33" s="9">
        <f>InputData4[[#This Row],[QUANTITY]]*InputData4[[#This Row],[BUYING PRIZE]]</f>
        <v>169</v>
      </c>
      <c r="M33" s="9">
        <f>InputData4[[#This Row],[QUANTITY]]*InputData4[[#This Row],[SELLING PRICE]]*(1-InputData4[[#This Row],[DISCOUNT %]])</f>
        <v>216.32</v>
      </c>
      <c r="N33" s="7">
        <f>DAY(InputData4[[#This Row],[DATE]])</f>
        <v>3</v>
      </c>
      <c r="O33" s="7">
        <f>MONTH(InputData4[[#This Row],[DATE]])</f>
        <v>2</v>
      </c>
      <c r="P33" s="7">
        <f>YEAR(InputData4[[#This Row],[DATE]])</f>
        <v>2021</v>
      </c>
    </row>
    <row r="34" spans="1:16" x14ac:dyDescent="0.3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  <c r="G34" t="str">
        <f>VLOOKUP(InputData4[[#This Row],[PRODUCT ID]],MasterData[],2,0)</f>
        <v>Product22</v>
      </c>
      <c r="H34" t="str">
        <f>VLOOKUP(InputData4[[#This Row],[PRODUCT ID]],MasterData[],3,0)</f>
        <v>Category03</v>
      </c>
      <c r="I34" t="str">
        <f>VLOOKUP(InputData4[[#This Row],[PRODUCT ID]],MasterData[],4,0)</f>
        <v>Ft</v>
      </c>
      <c r="J34" s="9">
        <f>VLOOKUP(InputData4[[#This Row],[PRODUCT ID]],MasterData[],5,0)</f>
        <v>121</v>
      </c>
      <c r="K34" s="9">
        <f>VLOOKUP(InputData4[[#This Row],[PRODUCT ID]],MasterData[],6,0)</f>
        <v>141.57</v>
      </c>
      <c r="L34" s="9">
        <f>InputData4[[#This Row],[QUANTITY]]*InputData4[[#This Row],[BUYING PRIZE]]</f>
        <v>242</v>
      </c>
      <c r="M34" s="9">
        <f>InputData4[[#This Row],[QUANTITY]]*InputData4[[#This Row],[SELLING PRICE]]*(1-InputData4[[#This Row],[DISCOUNT %]])</f>
        <v>283.14</v>
      </c>
      <c r="N34" s="7">
        <f>DAY(InputData4[[#This Row],[DATE]])</f>
        <v>3</v>
      </c>
      <c r="O34" s="7">
        <f>MONTH(InputData4[[#This Row],[DATE]])</f>
        <v>2</v>
      </c>
      <c r="P34" s="7">
        <f>YEAR(InputData4[[#This Row],[DATE]])</f>
        <v>2021</v>
      </c>
    </row>
    <row r="35" spans="1:16" x14ac:dyDescent="0.3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  <c r="G35" t="str">
        <f>VLOOKUP(InputData4[[#This Row],[PRODUCT ID]],MasterData[],2,0)</f>
        <v>Product37</v>
      </c>
      <c r="H35" t="str">
        <f>VLOOKUP(InputData4[[#This Row],[PRODUCT ID]],MasterData[],3,0)</f>
        <v>Category05</v>
      </c>
      <c r="I35" t="str">
        <f>VLOOKUP(InputData4[[#This Row],[PRODUCT ID]],MasterData[],4,0)</f>
        <v>Kg</v>
      </c>
      <c r="J35" s="9">
        <f>VLOOKUP(InputData4[[#This Row],[PRODUCT ID]],MasterData[],5,0)</f>
        <v>67</v>
      </c>
      <c r="K35" s="9">
        <f>VLOOKUP(InputData4[[#This Row],[PRODUCT ID]],MasterData[],6,0)</f>
        <v>85.76</v>
      </c>
      <c r="L35" s="9">
        <f>InputData4[[#This Row],[QUANTITY]]*InputData4[[#This Row],[BUYING PRIZE]]</f>
        <v>268</v>
      </c>
      <c r="M35" s="9">
        <f>InputData4[[#This Row],[QUANTITY]]*InputData4[[#This Row],[SELLING PRICE]]*(1-InputData4[[#This Row],[DISCOUNT %]])</f>
        <v>343.04</v>
      </c>
      <c r="N35" s="7">
        <f>DAY(InputData4[[#This Row],[DATE]])</f>
        <v>4</v>
      </c>
      <c r="O35" s="7">
        <f>MONTH(InputData4[[#This Row],[DATE]])</f>
        <v>2</v>
      </c>
      <c r="P35" s="7">
        <f>YEAR(InputData4[[#This Row],[DATE]])</f>
        <v>2021</v>
      </c>
    </row>
    <row r="36" spans="1:16" x14ac:dyDescent="0.3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  <c r="G36" t="str">
        <f>VLOOKUP(InputData4[[#This Row],[PRODUCT ID]],MasterData[],2,0)</f>
        <v>Product43</v>
      </c>
      <c r="H36" t="str">
        <f>VLOOKUP(InputData4[[#This Row],[PRODUCT ID]],MasterData[],3,0)</f>
        <v>Category05</v>
      </c>
      <c r="I36" t="str">
        <f>VLOOKUP(InputData4[[#This Row],[PRODUCT ID]],MasterData[],4,0)</f>
        <v>Kg</v>
      </c>
      <c r="J36" s="9">
        <f>VLOOKUP(InputData4[[#This Row],[PRODUCT ID]],MasterData[],5,0)</f>
        <v>67</v>
      </c>
      <c r="K36" s="9">
        <f>VLOOKUP(InputData4[[#This Row],[PRODUCT ID]],MasterData[],6,0)</f>
        <v>83.08</v>
      </c>
      <c r="L36" s="9">
        <f>InputData4[[#This Row],[QUANTITY]]*InputData4[[#This Row],[BUYING PRIZE]]</f>
        <v>469</v>
      </c>
      <c r="M36" s="9">
        <f>InputData4[[#This Row],[QUANTITY]]*InputData4[[#This Row],[SELLING PRICE]]*(1-InputData4[[#This Row],[DISCOUNT %]])</f>
        <v>581.55999999999995</v>
      </c>
      <c r="N36" s="7">
        <f>DAY(InputData4[[#This Row],[DATE]])</f>
        <v>5</v>
      </c>
      <c r="O36" s="7">
        <f>MONTH(InputData4[[#This Row],[DATE]])</f>
        <v>2</v>
      </c>
      <c r="P36" s="7">
        <f>YEAR(InputData4[[#This Row],[DATE]])</f>
        <v>2021</v>
      </c>
    </row>
    <row r="37" spans="1:16" x14ac:dyDescent="0.3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  <c r="G37" t="str">
        <f>VLOOKUP(InputData4[[#This Row],[PRODUCT ID]],MasterData[],2,0)</f>
        <v>Product05</v>
      </c>
      <c r="H37" t="str">
        <f>VLOOKUP(InputData4[[#This Row],[PRODUCT ID]],MasterData[],3,0)</f>
        <v>Category01</v>
      </c>
      <c r="I37" t="str">
        <f>VLOOKUP(InputData4[[#This Row],[PRODUCT ID]],MasterData[],4,0)</f>
        <v>Ft</v>
      </c>
      <c r="J37" s="9">
        <f>VLOOKUP(InputData4[[#This Row],[PRODUCT ID]],MasterData[],5,0)</f>
        <v>133</v>
      </c>
      <c r="K37" s="9">
        <f>VLOOKUP(InputData4[[#This Row],[PRODUCT ID]],MasterData[],6,0)</f>
        <v>155.61000000000001</v>
      </c>
      <c r="L37" s="9">
        <f>InputData4[[#This Row],[QUANTITY]]*InputData4[[#This Row],[BUYING PRIZE]]</f>
        <v>133</v>
      </c>
      <c r="M37" s="9">
        <f>InputData4[[#This Row],[QUANTITY]]*InputData4[[#This Row],[SELLING PRICE]]*(1-InputData4[[#This Row],[DISCOUNT %]])</f>
        <v>155.61000000000001</v>
      </c>
      <c r="N37" s="7">
        <f>DAY(InputData4[[#This Row],[DATE]])</f>
        <v>5</v>
      </c>
      <c r="O37" s="7">
        <f>MONTH(InputData4[[#This Row],[DATE]])</f>
        <v>2</v>
      </c>
      <c r="P37" s="7">
        <f>YEAR(InputData4[[#This Row],[DATE]])</f>
        <v>2021</v>
      </c>
    </row>
    <row r="38" spans="1:16" x14ac:dyDescent="0.3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  <c r="G38" t="str">
        <f>VLOOKUP(InputData4[[#This Row],[PRODUCT ID]],MasterData[],2,0)</f>
        <v>Product43</v>
      </c>
      <c r="H38" t="str">
        <f>VLOOKUP(InputData4[[#This Row],[PRODUCT ID]],MasterData[],3,0)</f>
        <v>Category05</v>
      </c>
      <c r="I38" t="str">
        <f>VLOOKUP(InputData4[[#This Row],[PRODUCT ID]],MasterData[],4,0)</f>
        <v>Kg</v>
      </c>
      <c r="J38" s="9">
        <f>VLOOKUP(InputData4[[#This Row],[PRODUCT ID]],MasterData[],5,0)</f>
        <v>67</v>
      </c>
      <c r="K38" s="9">
        <f>VLOOKUP(InputData4[[#This Row],[PRODUCT ID]],MasterData[],6,0)</f>
        <v>83.08</v>
      </c>
      <c r="L38" s="9">
        <f>InputData4[[#This Row],[QUANTITY]]*InputData4[[#This Row],[BUYING PRIZE]]</f>
        <v>603</v>
      </c>
      <c r="M38" s="9">
        <f>InputData4[[#This Row],[QUANTITY]]*InputData4[[#This Row],[SELLING PRICE]]*(1-InputData4[[#This Row],[DISCOUNT %]])</f>
        <v>747.72</v>
      </c>
      <c r="N38" s="7">
        <f>DAY(InputData4[[#This Row],[DATE]])</f>
        <v>5</v>
      </c>
      <c r="O38" s="7">
        <f>MONTH(InputData4[[#This Row],[DATE]])</f>
        <v>2</v>
      </c>
      <c r="P38" s="7">
        <f>YEAR(InputData4[[#This Row],[DATE]])</f>
        <v>2021</v>
      </c>
    </row>
    <row r="39" spans="1:16" x14ac:dyDescent="0.3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  <c r="G39" t="str">
        <f>VLOOKUP(InputData4[[#This Row],[PRODUCT ID]],MasterData[],2,0)</f>
        <v>Product35</v>
      </c>
      <c r="H39" t="str">
        <f>VLOOKUP(InputData4[[#This Row],[PRODUCT ID]],MasterData[],3,0)</f>
        <v>Category04</v>
      </c>
      <c r="I39" t="str">
        <f>VLOOKUP(InputData4[[#This Row],[PRODUCT ID]],MasterData[],4,0)</f>
        <v>No.</v>
      </c>
      <c r="J39" s="9">
        <f>VLOOKUP(InputData4[[#This Row],[PRODUCT ID]],MasterData[],5,0)</f>
        <v>5</v>
      </c>
      <c r="K39" s="9">
        <f>VLOOKUP(InputData4[[#This Row],[PRODUCT ID]],MasterData[],6,0)</f>
        <v>6.7</v>
      </c>
      <c r="L39" s="9">
        <f>InputData4[[#This Row],[QUANTITY]]*InputData4[[#This Row],[BUYING PRIZE]]</f>
        <v>5</v>
      </c>
      <c r="M39" s="9">
        <f>InputData4[[#This Row],[QUANTITY]]*InputData4[[#This Row],[SELLING PRICE]]*(1-InputData4[[#This Row],[DISCOUNT %]])</f>
        <v>6.7</v>
      </c>
      <c r="N39" s="7">
        <f>DAY(InputData4[[#This Row],[DATE]])</f>
        <v>6</v>
      </c>
      <c r="O39" s="7">
        <f>MONTH(InputData4[[#This Row],[DATE]])</f>
        <v>2</v>
      </c>
      <c r="P39" s="7">
        <f>YEAR(InputData4[[#This Row],[DATE]])</f>
        <v>2021</v>
      </c>
    </row>
    <row r="40" spans="1:16" x14ac:dyDescent="0.3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  <c r="G40" t="str">
        <f>VLOOKUP(InputData4[[#This Row],[PRODUCT ID]],MasterData[],2,0)</f>
        <v>Product34</v>
      </c>
      <c r="H40" t="str">
        <f>VLOOKUP(InputData4[[#This Row],[PRODUCT ID]],MasterData[],3,0)</f>
        <v>Category04</v>
      </c>
      <c r="I40" t="str">
        <f>VLOOKUP(InputData4[[#This Row],[PRODUCT ID]],MasterData[],4,0)</f>
        <v>Lt</v>
      </c>
      <c r="J40" s="9">
        <f>VLOOKUP(InputData4[[#This Row],[PRODUCT ID]],MasterData[],5,0)</f>
        <v>55</v>
      </c>
      <c r="K40" s="9">
        <f>VLOOKUP(InputData4[[#This Row],[PRODUCT ID]],MasterData[],6,0)</f>
        <v>58.3</v>
      </c>
      <c r="L40" s="9">
        <f>InputData4[[#This Row],[QUANTITY]]*InputData4[[#This Row],[BUYING PRIZE]]</f>
        <v>770</v>
      </c>
      <c r="M40" s="9">
        <f>InputData4[[#This Row],[QUANTITY]]*InputData4[[#This Row],[SELLING PRICE]]*(1-InputData4[[#This Row],[DISCOUNT %]])</f>
        <v>816.19999999999993</v>
      </c>
      <c r="N40" s="7">
        <f>DAY(InputData4[[#This Row],[DATE]])</f>
        <v>9</v>
      </c>
      <c r="O40" s="7">
        <f>MONTH(InputData4[[#This Row],[DATE]])</f>
        <v>2</v>
      </c>
      <c r="P40" s="7">
        <f>YEAR(InputData4[[#This Row],[DATE]])</f>
        <v>2021</v>
      </c>
    </row>
    <row r="41" spans="1:16" x14ac:dyDescent="0.3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  <c r="G41" t="str">
        <f>VLOOKUP(InputData4[[#This Row],[PRODUCT ID]],MasterData[],2,0)</f>
        <v>Product08</v>
      </c>
      <c r="H41" t="str">
        <f>VLOOKUP(InputData4[[#This Row],[PRODUCT ID]],MasterData[],3,0)</f>
        <v>Category01</v>
      </c>
      <c r="I41" t="str">
        <f>VLOOKUP(InputData4[[#This Row],[PRODUCT ID]],MasterData[],4,0)</f>
        <v>Kg</v>
      </c>
      <c r="J41" s="9">
        <f>VLOOKUP(InputData4[[#This Row],[PRODUCT ID]],MasterData[],5,0)</f>
        <v>83</v>
      </c>
      <c r="K41" s="9">
        <f>VLOOKUP(InputData4[[#This Row],[PRODUCT ID]],MasterData[],6,0)</f>
        <v>94.62</v>
      </c>
      <c r="L41" s="9">
        <f>InputData4[[#This Row],[QUANTITY]]*InputData4[[#This Row],[BUYING PRIZE]]</f>
        <v>581</v>
      </c>
      <c r="M41" s="9">
        <f>InputData4[[#This Row],[QUANTITY]]*InputData4[[#This Row],[SELLING PRICE]]*(1-InputData4[[#This Row],[DISCOUNT %]])</f>
        <v>662.34</v>
      </c>
      <c r="N41" s="7">
        <f>DAY(InputData4[[#This Row],[DATE]])</f>
        <v>12</v>
      </c>
      <c r="O41" s="7">
        <f>MONTH(InputData4[[#This Row],[DATE]])</f>
        <v>2</v>
      </c>
      <c r="P41" s="7">
        <f>YEAR(InputData4[[#This Row],[DATE]])</f>
        <v>2021</v>
      </c>
    </row>
    <row r="42" spans="1:16" x14ac:dyDescent="0.3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  <c r="G42" t="str">
        <f>VLOOKUP(InputData4[[#This Row],[PRODUCT ID]],MasterData[],2,0)</f>
        <v>Product23</v>
      </c>
      <c r="H42" t="str">
        <f>VLOOKUP(InputData4[[#This Row],[PRODUCT ID]],MasterData[],3,0)</f>
        <v>Category03</v>
      </c>
      <c r="I42" t="str">
        <f>VLOOKUP(InputData4[[#This Row],[PRODUCT ID]],MasterData[],4,0)</f>
        <v>Ft</v>
      </c>
      <c r="J42" s="9">
        <f>VLOOKUP(InputData4[[#This Row],[PRODUCT ID]],MasterData[],5,0)</f>
        <v>141</v>
      </c>
      <c r="K42" s="9">
        <f>VLOOKUP(InputData4[[#This Row],[PRODUCT ID]],MasterData[],6,0)</f>
        <v>149.46</v>
      </c>
      <c r="L42" s="9">
        <f>InputData4[[#This Row],[QUANTITY]]*InputData4[[#This Row],[BUYING PRIZE]]</f>
        <v>1269</v>
      </c>
      <c r="M42" s="9">
        <f>InputData4[[#This Row],[QUANTITY]]*InputData4[[#This Row],[SELLING PRICE]]*(1-InputData4[[#This Row],[DISCOUNT %]])</f>
        <v>1345.14</v>
      </c>
      <c r="N42" s="7">
        <f>DAY(InputData4[[#This Row],[DATE]])</f>
        <v>12</v>
      </c>
      <c r="O42" s="7">
        <f>MONTH(InputData4[[#This Row],[DATE]])</f>
        <v>2</v>
      </c>
      <c r="P42" s="7">
        <f>YEAR(InputData4[[#This Row],[DATE]])</f>
        <v>2021</v>
      </c>
    </row>
    <row r="43" spans="1:16" x14ac:dyDescent="0.3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  <c r="G43" t="str">
        <f>VLOOKUP(InputData4[[#This Row],[PRODUCT ID]],MasterData[],2,0)</f>
        <v>Product27</v>
      </c>
      <c r="H43" t="str">
        <f>VLOOKUP(InputData4[[#This Row],[PRODUCT ID]],MasterData[],3,0)</f>
        <v>Category04</v>
      </c>
      <c r="I43" t="str">
        <f>VLOOKUP(InputData4[[#This Row],[PRODUCT ID]],MasterData[],4,0)</f>
        <v>Lt</v>
      </c>
      <c r="J43" s="9">
        <f>VLOOKUP(InputData4[[#This Row],[PRODUCT ID]],MasterData[],5,0)</f>
        <v>48</v>
      </c>
      <c r="K43" s="9">
        <f>VLOOKUP(InputData4[[#This Row],[PRODUCT ID]],MasterData[],6,0)</f>
        <v>57.120000000000005</v>
      </c>
      <c r="L43" s="9">
        <f>InputData4[[#This Row],[QUANTITY]]*InputData4[[#This Row],[BUYING PRIZE]]</f>
        <v>192</v>
      </c>
      <c r="M43" s="9">
        <f>InputData4[[#This Row],[QUANTITY]]*InputData4[[#This Row],[SELLING PRICE]]*(1-InputData4[[#This Row],[DISCOUNT %]])</f>
        <v>228.48000000000002</v>
      </c>
      <c r="N43" s="7">
        <f>DAY(InputData4[[#This Row],[DATE]])</f>
        <v>15</v>
      </c>
      <c r="O43" s="7">
        <f>MONTH(InputData4[[#This Row],[DATE]])</f>
        <v>2</v>
      </c>
      <c r="P43" s="7">
        <f>YEAR(InputData4[[#This Row],[DATE]])</f>
        <v>2021</v>
      </c>
    </row>
    <row r="44" spans="1:16" x14ac:dyDescent="0.3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  <c r="G44" t="str">
        <f>VLOOKUP(InputData4[[#This Row],[PRODUCT ID]],MasterData[],2,0)</f>
        <v>Product15</v>
      </c>
      <c r="H44" t="str">
        <f>VLOOKUP(InputData4[[#This Row],[PRODUCT ID]],MasterData[],3,0)</f>
        <v>Category02</v>
      </c>
      <c r="I44" t="str">
        <f>VLOOKUP(InputData4[[#This Row],[PRODUCT ID]],MasterData[],4,0)</f>
        <v>No.</v>
      </c>
      <c r="J44" s="9">
        <f>VLOOKUP(InputData4[[#This Row],[PRODUCT ID]],MasterData[],5,0)</f>
        <v>12</v>
      </c>
      <c r="K44" s="9">
        <f>VLOOKUP(InputData4[[#This Row],[PRODUCT ID]],MasterData[],6,0)</f>
        <v>15.719999999999999</v>
      </c>
      <c r="L44" s="9">
        <f>InputData4[[#This Row],[QUANTITY]]*InputData4[[#This Row],[BUYING PRIZE]]</f>
        <v>72</v>
      </c>
      <c r="M44" s="9">
        <f>InputData4[[#This Row],[QUANTITY]]*InputData4[[#This Row],[SELLING PRICE]]*(1-InputData4[[#This Row],[DISCOUNT %]])</f>
        <v>94.32</v>
      </c>
      <c r="N44" s="7">
        <f>DAY(InputData4[[#This Row],[DATE]])</f>
        <v>18</v>
      </c>
      <c r="O44" s="7">
        <f>MONTH(InputData4[[#This Row],[DATE]])</f>
        <v>2</v>
      </c>
      <c r="P44" s="7">
        <f>YEAR(InputData4[[#This Row],[DATE]])</f>
        <v>2021</v>
      </c>
    </row>
    <row r="45" spans="1:16" x14ac:dyDescent="0.3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  <c r="G45" t="str">
        <f>VLOOKUP(InputData4[[#This Row],[PRODUCT ID]],MasterData[],2,0)</f>
        <v>Product30</v>
      </c>
      <c r="H45" t="str">
        <f>VLOOKUP(InputData4[[#This Row],[PRODUCT ID]],MasterData[],3,0)</f>
        <v>Category04</v>
      </c>
      <c r="I45" t="str">
        <f>VLOOKUP(InputData4[[#This Row],[PRODUCT ID]],MasterData[],4,0)</f>
        <v>Ft</v>
      </c>
      <c r="J45" s="9">
        <f>VLOOKUP(InputData4[[#This Row],[PRODUCT ID]],MasterData[],5,0)</f>
        <v>148</v>
      </c>
      <c r="K45" s="9">
        <f>VLOOKUP(InputData4[[#This Row],[PRODUCT ID]],MasterData[],6,0)</f>
        <v>201.28</v>
      </c>
      <c r="L45" s="9">
        <f>InputData4[[#This Row],[QUANTITY]]*InputData4[[#This Row],[BUYING PRIZE]]</f>
        <v>1628</v>
      </c>
      <c r="M45" s="9">
        <f>InputData4[[#This Row],[QUANTITY]]*InputData4[[#This Row],[SELLING PRICE]]*(1-InputData4[[#This Row],[DISCOUNT %]])</f>
        <v>2214.08</v>
      </c>
      <c r="N45" s="7">
        <f>DAY(InputData4[[#This Row],[DATE]])</f>
        <v>20</v>
      </c>
      <c r="O45" s="7">
        <f>MONTH(InputData4[[#This Row],[DATE]])</f>
        <v>2</v>
      </c>
      <c r="P45" s="7">
        <f>YEAR(InputData4[[#This Row],[DATE]])</f>
        <v>2021</v>
      </c>
    </row>
    <row r="46" spans="1:16" x14ac:dyDescent="0.3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  <c r="G46" t="str">
        <f>VLOOKUP(InputData4[[#This Row],[PRODUCT ID]],MasterData[],2,0)</f>
        <v>Product13</v>
      </c>
      <c r="H46" t="str">
        <f>VLOOKUP(InputData4[[#This Row],[PRODUCT ID]],MasterData[],3,0)</f>
        <v>Category02</v>
      </c>
      <c r="I46" t="str">
        <f>VLOOKUP(InputData4[[#This Row],[PRODUCT ID]],MasterData[],4,0)</f>
        <v>Kg</v>
      </c>
      <c r="J46" s="9">
        <f>VLOOKUP(InputData4[[#This Row],[PRODUCT ID]],MasterData[],5,0)</f>
        <v>112</v>
      </c>
      <c r="K46" s="9">
        <f>VLOOKUP(InputData4[[#This Row],[PRODUCT ID]],MasterData[],6,0)</f>
        <v>122.08</v>
      </c>
      <c r="L46" s="9">
        <f>InputData4[[#This Row],[QUANTITY]]*InputData4[[#This Row],[BUYING PRIZE]]</f>
        <v>560</v>
      </c>
      <c r="M46" s="9">
        <f>InputData4[[#This Row],[QUANTITY]]*InputData4[[#This Row],[SELLING PRICE]]*(1-InputData4[[#This Row],[DISCOUNT %]])</f>
        <v>610.4</v>
      </c>
      <c r="N46" s="7">
        <f>DAY(InputData4[[#This Row],[DATE]])</f>
        <v>22</v>
      </c>
      <c r="O46" s="7">
        <f>MONTH(InputData4[[#This Row],[DATE]])</f>
        <v>2</v>
      </c>
      <c r="P46" s="7">
        <f>YEAR(InputData4[[#This Row],[DATE]])</f>
        <v>2021</v>
      </c>
    </row>
    <row r="47" spans="1:16" x14ac:dyDescent="0.3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  <c r="G47" t="str">
        <f>VLOOKUP(InputData4[[#This Row],[PRODUCT ID]],MasterData[],2,0)</f>
        <v>Product25</v>
      </c>
      <c r="H47" t="str">
        <f>VLOOKUP(InputData4[[#This Row],[PRODUCT ID]],MasterData[],3,0)</f>
        <v>Category03</v>
      </c>
      <c r="I47" t="str">
        <f>VLOOKUP(InputData4[[#This Row],[PRODUCT ID]],MasterData[],4,0)</f>
        <v>No.</v>
      </c>
      <c r="J47" s="9">
        <f>VLOOKUP(InputData4[[#This Row],[PRODUCT ID]],MasterData[],5,0)</f>
        <v>7</v>
      </c>
      <c r="K47" s="9">
        <f>VLOOKUP(InputData4[[#This Row],[PRODUCT ID]],MasterData[],6,0)</f>
        <v>8.33</v>
      </c>
      <c r="L47" s="9">
        <f>InputData4[[#This Row],[QUANTITY]]*InputData4[[#This Row],[BUYING PRIZE]]</f>
        <v>21</v>
      </c>
      <c r="M47" s="9">
        <f>InputData4[[#This Row],[QUANTITY]]*InputData4[[#This Row],[SELLING PRICE]]*(1-InputData4[[#This Row],[DISCOUNT %]])</f>
        <v>24.990000000000002</v>
      </c>
      <c r="N47" s="7">
        <f>DAY(InputData4[[#This Row],[DATE]])</f>
        <v>23</v>
      </c>
      <c r="O47" s="7">
        <f>MONTH(InputData4[[#This Row],[DATE]])</f>
        <v>2</v>
      </c>
      <c r="P47" s="7">
        <f>YEAR(InputData4[[#This Row],[DATE]])</f>
        <v>2021</v>
      </c>
    </row>
    <row r="48" spans="1:16" x14ac:dyDescent="0.3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  <c r="G48" t="str">
        <f>VLOOKUP(InputData4[[#This Row],[PRODUCT ID]],MasterData[],2,0)</f>
        <v>Product05</v>
      </c>
      <c r="H48" t="str">
        <f>VLOOKUP(InputData4[[#This Row],[PRODUCT ID]],MasterData[],3,0)</f>
        <v>Category01</v>
      </c>
      <c r="I48" t="str">
        <f>VLOOKUP(InputData4[[#This Row],[PRODUCT ID]],MasterData[],4,0)</f>
        <v>Ft</v>
      </c>
      <c r="J48" s="9">
        <f>VLOOKUP(InputData4[[#This Row],[PRODUCT ID]],MasterData[],5,0)</f>
        <v>133</v>
      </c>
      <c r="K48" s="9">
        <f>VLOOKUP(InputData4[[#This Row],[PRODUCT ID]],MasterData[],6,0)</f>
        <v>155.61000000000001</v>
      </c>
      <c r="L48" s="9">
        <f>InputData4[[#This Row],[QUANTITY]]*InputData4[[#This Row],[BUYING PRIZE]]</f>
        <v>266</v>
      </c>
      <c r="M48" s="9">
        <f>InputData4[[#This Row],[QUANTITY]]*InputData4[[#This Row],[SELLING PRICE]]*(1-InputData4[[#This Row],[DISCOUNT %]])</f>
        <v>311.22000000000003</v>
      </c>
      <c r="N48" s="7">
        <f>DAY(InputData4[[#This Row],[DATE]])</f>
        <v>23</v>
      </c>
      <c r="O48" s="7">
        <f>MONTH(InputData4[[#This Row],[DATE]])</f>
        <v>2</v>
      </c>
      <c r="P48" s="7">
        <f>YEAR(InputData4[[#This Row],[DATE]])</f>
        <v>2021</v>
      </c>
    </row>
    <row r="49" spans="1:16" x14ac:dyDescent="0.3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  <c r="G49" t="str">
        <f>VLOOKUP(InputData4[[#This Row],[PRODUCT ID]],MasterData[],2,0)</f>
        <v>Product02</v>
      </c>
      <c r="H49" t="str">
        <f>VLOOKUP(InputData4[[#This Row],[PRODUCT ID]],MasterData[],3,0)</f>
        <v>Category01</v>
      </c>
      <c r="I49" t="str">
        <f>VLOOKUP(InputData4[[#This Row],[PRODUCT ID]],MasterData[],4,0)</f>
        <v>Kg</v>
      </c>
      <c r="J49" s="9">
        <f>VLOOKUP(InputData4[[#This Row],[PRODUCT ID]],MasterData[],5,0)</f>
        <v>105</v>
      </c>
      <c r="K49" s="9">
        <f>VLOOKUP(InputData4[[#This Row],[PRODUCT ID]],MasterData[],6,0)</f>
        <v>142.80000000000001</v>
      </c>
      <c r="L49" s="9">
        <f>InputData4[[#This Row],[QUANTITY]]*InputData4[[#This Row],[BUYING PRIZE]]</f>
        <v>420</v>
      </c>
      <c r="M49" s="9">
        <f>InputData4[[#This Row],[QUANTITY]]*InputData4[[#This Row],[SELLING PRICE]]*(1-InputData4[[#This Row],[DISCOUNT %]])</f>
        <v>571.20000000000005</v>
      </c>
      <c r="N49" s="7">
        <f>DAY(InputData4[[#This Row],[DATE]])</f>
        <v>25</v>
      </c>
      <c r="O49" s="7">
        <f>MONTH(InputData4[[#This Row],[DATE]])</f>
        <v>2</v>
      </c>
      <c r="P49" s="7">
        <f>YEAR(InputData4[[#This Row],[DATE]])</f>
        <v>2021</v>
      </c>
    </row>
    <row r="50" spans="1:16" x14ac:dyDescent="0.3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  <c r="G50" t="str">
        <f>VLOOKUP(InputData4[[#This Row],[PRODUCT ID]],MasterData[],2,0)</f>
        <v>Product32</v>
      </c>
      <c r="H50" t="str">
        <f>VLOOKUP(InputData4[[#This Row],[PRODUCT ID]],MasterData[],3,0)</f>
        <v>Category04</v>
      </c>
      <c r="I50" t="str">
        <f>VLOOKUP(InputData4[[#This Row],[PRODUCT ID]],MasterData[],4,0)</f>
        <v>Kg</v>
      </c>
      <c r="J50" s="9">
        <f>VLOOKUP(InputData4[[#This Row],[PRODUCT ID]],MasterData[],5,0)</f>
        <v>89</v>
      </c>
      <c r="K50" s="9">
        <f>VLOOKUP(InputData4[[#This Row],[PRODUCT ID]],MasterData[],6,0)</f>
        <v>117.48</v>
      </c>
      <c r="L50" s="9">
        <f>InputData4[[#This Row],[QUANTITY]]*InputData4[[#This Row],[BUYING PRIZE]]</f>
        <v>979</v>
      </c>
      <c r="M50" s="9">
        <f>InputData4[[#This Row],[QUANTITY]]*InputData4[[#This Row],[SELLING PRICE]]*(1-InputData4[[#This Row],[DISCOUNT %]])</f>
        <v>1292.28</v>
      </c>
      <c r="N50" s="7">
        <f>DAY(InputData4[[#This Row],[DATE]])</f>
        <v>25</v>
      </c>
      <c r="O50" s="7">
        <f>MONTH(InputData4[[#This Row],[DATE]])</f>
        <v>2</v>
      </c>
      <c r="P50" s="7">
        <f>YEAR(InputData4[[#This Row],[DATE]])</f>
        <v>2021</v>
      </c>
    </row>
    <row r="51" spans="1:16" x14ac:dyDescent="0.3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  <c r="G51" t="str">
        <f>VLOOKUP(InputData4[[#This Row],[PRODUCT ID]],MasterData[],2,0)</f>
        <v>Product30</v>
      </c>
      <c r="H51" t="str">
        <f>VLOOKUP(InputData4[[#This Row],[PRODUCT ID]],MasterData[],3,0)</f>
        <v>Category04</v>
      </c>
      <c r="I51" t="str">
        <f>VLOOKUP(InputData4[[#This Row],[PRODUCT ID]],MasterData[],4,0)</f>
        <v>Ft</v>
      </c>
      <c r="J51" s="9">
        <f>VLOOKUP(InputData4[[#This Row],[PRODUCT ID]],MasterData[],5,0)</f>
        <v>148</v>
      </c>
      <c r="K51" s="9">
        <f>VLOOKUP(InputData4[[#This Row],[PRODUCT ID]],MasterData[],6,0)</f>
        <v>201.28</v>
      </c>
      <c r="L51" s="9">
        <f>InputData4[[#This Row],[QUANTITY]]*InputData4[[#This Row],[BUYING PRIZE]]</f>
        <v>296</v>
      </c>
      <c r="M51" s="9">
        <f>InputData4[[#This Row],[QUANTITY]]*InputData4[[#This Row],[SELLING PRICE]]*(1-InputData4[[#This Row],[DISCOUNT %]])</f>
        <v>402.56</v>
      </c>
      <c r="N51" s="7">
        <f>DAY(InputData4[[#This Row],[DATE]])</f>
        <v>25</v>
      </c>
      <c r="O51" s="7">
        <f>MONTH(InputData4[[#This Row],[DATE]])</f>
        <v>2</v>
      </c>
      <c r="P51" s="7">
        <f>YEAR(InputData4[[#This Row],[DATE]])</f>
        <v>2021</v>
      </c>
    </row>
    <row r="52" spans="1:16" x14ac:dyDescent="0.3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  <c r="G52" t="str">
        <f>VLOOKUP(InputData4[[#This Row],[PRODUCT ID]],MasterData[],2,0)</f>
        <v>Product18</v>
      </c>
      <c r="H52" t="str">
        <f>VLOOKUP(InputData4[[#This Row],[PRODUCT ID]],MasterData[],3,0)</f>
        <v>Category02</v>
      </c>
      <c r="I52" t="str">
        <f>VLOOKUP(InputData4[[#This Row],[PRODUCT ID]],MasterData[],4,0)</f>
        <v>No.</v>
      </c>
      <c r="J52" s="9">
        <f>VLOOKUP(InputData4[[#This Row],[PRODUCT ID]],MasterData[],5,0)</f>
        <v>37</v>
      </c>
      <c r="K52" s="9">
        <f>VLOOKUP(InputData4[[#This Row],[PRODUCT ID]],MasterData[],6,0)</f>
        <v>49.21</v>
      </c>
      <c r="L52" s="9">
        <f>InputData4[[#This Row],[QUANTITY]]*InputData4[[#This Row],[BUYING PRIZE]]</f>
        <v>407</v>
      </c>
      <c r="M52" s="9">
        <f>InputData4[[#This Row],[QUANTITY]]*InputData4[[#This Row],[SELLING PRICE]]*(1-InputData4[[#This Row],[DISCOUNT %]])</f>
        <v>541.31000000000006</v>
      </c>
      <c r="N52" s="7">
        <f>DAY(InputData4[[#This Row],[DATE]])</f>
        <v>27</v>
      </c>
      <c r="O52" s="7">
        <f>MONTH(InputData4[[#This Row],[DATE]])</f>
        <v>2</v>
      </c>
      <c r="P52" s="7">
        <f>YEAR(InputData4[[#This Row],[DATE]])</f>
        <v>2021</v>
      </c>
    </row>
    <row r="53" spans="1:16" x14ac:dyDescent="0.3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  <c r="G53" t="str">
        <f>VLOOKUP(InputData4[[#This Row],[PRODUCT ID]],MasterData[],2,0)</f>
        <v>Product11</v>
      </c>
      <c r="H53" t="str">
        <f>VLOOKUP(InputData4[[#This Row],[PRODUCT ID]],MasterData[],3,0)</f>
        <v>Category02</v>
      </c>
      <c r="I53" t="str">
        <f>VLOOKUP(InputData4[[#This Row],[PRODUCT ID]],MasterData[],4,0)</f>
        <v>Lt</v>
      </c>
      <c r="J53" s="9">
        <f>VLOOKUP(InputData4[[#This Row],[PRODUCT ID]],MasterData[],5,0)</f>
        <v>44</v>
      </c>
      <c r="K53" s="9">
        <f>VLOOKUP(InputData4[[#This Row],[PRODUCT ID]],MasterData[],6,0)</f>
        <v>48.4</v>
      </c>
      <c r="L53" s="9">
        <f>InputData4[[#This Row],[QUANTITY]]*InputData4[[#This Row],[BUYING PRIZE]]</f>
        <v>44</v>
      </c>
      <c r="M53" s="9">
        <f>InputData4[[#This Row],[QUANTITY]]*InputData4[[#This Row],[SELLING PRICE]]*(1-InputData4[[#This Row],[DISCOUNT %]])</f>
        <v>48.4</v>
      </c>
      <c r="N53" s="7">
        <f>DAY(InputData4[[#This Row],[DATE]])</f>
        <v>3</v>
      </c>
      <c r="O53" s="7">
        <f>MONTH(InputData4[[#This Row],[DATE]])</f>
        <v>3</v>
      </c>
      <c r="P53" s="7">
        <f>YEAR(InputData4[[#This Row],[DATE]])</f>
        <v>2021</v>
      </c>
    </row>
    <row r="54" spans="1:16" x14ac:dyDescent="0.3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  <c r="G54" t="str">
        <f>VLOOKUP(InputData4[[#This Row],[PRODUCT ID]],MasterData[],2,0)</f>
        <v>Product21</v>
      </c>
      <c r="H54" t="str">
        <f>VLOOKUP(InputData4[[#This Row],[PRODUCT ID]],MasterData[],3,0)</f>
        <v>Category03</v>
      </c>
      <c r="I54" t="str">
        <f>VLOOKUP(InputData4[[#This Row],[PRODUCT ID]],MasterData[],4,0)</f>
        <v>Ft</v>
      </c>
      <c r="J54" s="9">
        <f>VLOOKUP(InputData4[[#This Row],[PRODUCT ID]],MasterData[],5,0)</f>
        <v>126</v>
      </c>
      <c r="K54" s="9">
        <f>VLOOKUP(InputData4[[#This Row],[PRODUCT ID]],MasterData[],6,0)</f>
        <v>162.54</v>
      </c>
      <c r="L54" s="9">
        <f>InputData4[[#This Row],[QUANTITY]]*InputData4[[#This Row],[BUYING PRIZE]]</f>
        <v>1134</v>
      </c>
      <c r="M54" s="9">
        <f>InputData4[[#This Row],[QUANTITY]]*InputData4[[#This Row],[SELLING PRICE]]*(1-InputData4[[#This Row],[DISCOUNT %]])</f>
        <v>1462.86</v>
      </c>
      <c r="N54" s="7">
        <f>DAY(InputData4[[#This Row],[DATE]])</f>
        <v>7</v>
      </c>
      <c r="O54" s="7">
        <f>MONTH(InputData4[[#This Row],[DATE]])</f>
        <v>3</v>
      </c>
      <c r="P54" s="7">
        <f>YEAR(InputData4[[#This Row],[DATE]])</f>
        <v>2021</v>
      </c>
    </row>
    <row r="55" spans="1:16" x14ac:dyDescent="0.3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  <c r="G55" t="str">
        <f>VLOOKUP(InputData4[[#This Row],[PRODUCT ID]],MasterData[],2,0)</f>
        <v>Product27</v>
      </c>
      <c r="H55" t="str">
        <f>VLOOKUP(InputData4[[#This Row],[PRODUCT ID]],MasterData[],3,0)</f>
        <v>Category04</v>
      </c>
      <c r="I55" t="str">
        <f>VLOOKUP(InputData4[[#This Row],[PRODUCT ID]],MasterData[],4,0)</f>
        <v>Lt</v>
      </c>
      <c r="J55" s="9">
        <f>VLOOKUP(InputData4[[#This Row],[PRODUCT ID]],MasterData[],5,0)</f>
        <v>48</v>
      </c>
      <c r="K55" s="9">
        <f>VLOOKUP(InputData4[[#This Row],[PRODUCT ID]],MasterData[],6,0)</f>
        <v>57.120000000000005</v>
      </c>
      <c r="L55" s="9">
        <f>InputData4[[#This Row],[QUANTITY]]*InputData4[[#This Row],[BUYING PRIZE]]</f>
        <v>288</v>
      </c>
      <c r="M55" s="9">
        <f>InputData4[[#This Row],[QUANTITY]]*InputData4[[#This Row],[SELLING PRICE]]*(1-InputData4[[#This Row],[DISCOUNT %]])</f>
        <v>342.72</v>
      </c>
      <c r="N55" s="7">
        <f>DAY(InputData4[[#This Row],[DATE]])</f>
        <v>8</v>
      </c>
      <c r="O55" s="7">
        <f>MONTH(InputData4[[#This Row],[DATE]])</f>
        <v>3</v>
      </c>
      <c r="P55" s="7">
        <f>YEAR(InputData4[[#This Row],[DATE]])</f>
        <v>2021</v>
      </c>
    </row>
    <row r="56" spans="1:16" x14ac:dyDescent="0.3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  <c r="G56" t="str">
        <f>VLOOKUP(InputData4[[#This Row],[PRODUCT ID]],MasterData[],2,0)</f>
        <v>Product44</v>
      </c>
      <c r="H56" t="str">
        <f>VLOOKUP(InputData4[[#This Row],[PRODUCT ID]],MasterData[],3,0)</f>
        <v>Category05</v>
      </c>
      <c r="I56" t="str">
        <f>VLOOKUP(InputData4[[#This Row],[PRODUCT ID]],MasterData[],4,0)</f>
        <v>Kg</v>
      </c>
      <c r="J56" s="9">
        <f>VLOOKUP(InputData4[[#This Row],[PRODUCT ID]],MasterData[],5,0)</f>
        <v>76</v>
      </c>
      <c r="K56" s="9">
        <f>VLOOKUP(InputData4[[#This Row],[PRODUCT ID]],MasterData[],6,0)</f>
        <v>82.08</v>
      </c>
      <c r="L56" s="9">
        <f>InputData4[[#This Row],[QUANTITY]]*InputData4[[#This Row],[BUYING PRIZE]]</f>
        <v>684</v>
      </c>
      <c r="M56" s="9">
        <f>InputData4[[#This Row],[QUANTITY]]*InputData4[[#This Row],[SELLING PRICE]]*(1-InputData4[[#This Row],[DISCOUNT %]])</f>
        <v>738.72</v>
      </c>
      <c r="N56" s="7">
        <f>DAY(InputData4[[#This Row],[DATE]])</f>
        <v>8</v>
      </c>
      <c r="O56" s="7">
        <f>MONTH(InputData4[[#This Row],[DATE]])</f>
        <v>3</v>
      </c>
      <c r="P56" s="7">
        <f>YEAR(InputData4[[#This Row],[DATE]])</f>
        <v>2021</v>
      </c>
    </row>
    <row r="57" spans="1:16" x14ac:dyDescent="0.3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  <c r="G57" t="str">
        <f>VLOOKUP(InputData4[[#This Row],[PRODUCT ID]],MasterData[],2,0)</f>
        <v>Product29</v>
      </c>
      <c r="H57" t="str">
        <f>VLOOKUP(InputData4[[#This Row],[PRODUCT ID]],MasterData[],3,0)</f>
        <v>Category04</v>
      </c>
      <c r="I57" t="str">
        <f>VLOOKUP(InputData4[[#This Row],[PRODUCT ID]],MasterData[],4,0)</f>
        <v>Lt</v>
      </c>
      <c r="J57" s="9">
        <f>VLOOKUP(InputData4[[#This Row],[PRODUCT ID]],MasterData[],5,0)</f>
        <v>47</v>
      </c>
      <c r="K57" s="9">
        <f>VLOOKUP(InputData4[[#This Row],[PRODUCT ID]],MasterData[],6,0)</f>
        <v>53.11</v>
      </c>
      <c r="L57" s="9">
        <f>InputData4[[#This Row],[QUANTITY]]*InputData4[[#This Row],[BUYING PRIZE]]</f>
        <v>282</v>
      </c>
      <c r="M57" s="9">
        <f>InputData4[[#This Row],[QUANTITY]]*InputData4[[#This Row],[SELLING PRICE]]*(1-InputData4[[#This Row],[DISCOUNT %]])</f>
        <v>318.65999999999997</v>
      </c>
      <c r="N57" s="7">
        <f>DAY(InputData4[[#This Row],[DATE]])</f>
        <v>9</v>
      </c>
      <c r="O57" s="7">
        <f>MONTH(InputData4[[#This Row],[DATE]])</f>
        <v>3</v>
      </c>
      <c r="P57" s="7">
        <f>YEAR(InputData4[[#This Row],[DATE]])</f>
        <v>2021</v>
      </c>
    </row>
    <row r="58" spans="1:16" x14ac:dyDescent="0.3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  <c r="G58" t="str">
        <f>VLOOKUP(InputData4[[#This Row],[PRODUCT ID]],MasterData[],2,0)</f>
        <v>Product25</v>
      </c>
      <c r="H58" t="str">
        <f>VLOOKUP(InputData4[[#This Row],[PRODUCT ID]],MasterData[],3,0)</f>
        <v>Category03</v>
      </c>
      <c r="I58" t="str">
        <f>VLOOKUP(InputData4[[#This Row],[PRODUCT ID]],MasterData[],4,0)</f>
        <v>No.</v>
      </c>
      <c r="J58" s="9">
        <f>VLOOKUP(InputData4[[#This Row],[PRODUCT ID]],MasterData[],5,0)</f>
        <v>7</v>
      </c>
      <c r="K58" s="9">
        <f>VLOOKUP(InputData4[[#This Row],[PRODUCT ID]],MasterData[],6,0)</f>
        <v>8.33</v>
      </c>
      <c r="L58" s="9">
        <f>InputData4[[#This Row],[QUANTITY]]*InputData4[[#This Row],[BUYING PRIZE]]</f>
        <v>77</v>
      </c>
      <c r="M58" s="9">
        <f>InputData4[[#This Row],[QUANTITY]]*InputData4[[#This Row],[SELLING PRICE]]*(1-InputData4[[#This Row],[DISCOUNT %]])</f>
        <v>91.63</v>
      </c>
      <c r="N58" s="7">
        <f>DAY(InputData4[[#This Row],[DATE]])</f>
        <v>11</v>
      </c>
      <c r="O58" s="7">
        <f>MONTH(InputData4[[#This Row],[DATE]])</f>
        <v>3</v>
      </c>
      <c r="P58" s="7">
        <f>YEAR(InputData4[[#This Row],[DATE]])</f>
        <v>2021</v>
      </c>
    </row>
    <row r="59" spans="1:16" x14ac:dyDescent="0.3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  <c r="G59" t="str">
        <f>VLOOKUP(InputData4[[#This Row],[PRODUCT ID]],MasterData[],2,0)</f>
        <v>Product28</v>
      </c>
      <c r="H59" t="str">
        <f>VLOOKUP(InputData4[[#This Row],[PRODUCT ID]],MasterData[],3,0)</f>
        <v>Category04</v>
      </c>
      <c r="I59" t="str">
        <f>VLOOKUP(InputData4[[#This Row],[PRODUCT ID]],MasterData[],4,0)</f>
        <v>No.</v>
      </c>
      <c r="J59" s="9">
        <f>VLOOKUP(InputData4[[#This Row],[PRODUCT ID]],MasterData[],5,0)</f>
        <v>37</v>
      </c>
      <c r="K59" s="9">
        <f>VLOOKUP(InputData4[[#This Row],[PRODUCT ID]],MasterData[],6,0)</f>
        <v>41.81</v>
      </c>
      <c r="L59" s="9">
        <f>InputData4[[#This Row],[QUANTITY]]*InputData4[[#This Row],[BUYING PRIZE]]</f>
        <v>370</v>
      </c>
      <c r="M59" s="9">
        <f>InputData4[[#This Row],[QUANTITY]]*InputData4[[#This Row],[SELLING PRICE]]*(1-InputData4[[#This Row],[DISCOUNT %]])</f>
        <v>418.1</v>
      </c>
      <c r="N59" s="7">
        <f>DAY(InputData4[[#This Row],[DATE]])</f>
        <v>13</v>
      </c>
      <c r="O59" s="7">
        <f>MONTH(InputData4[[#This Row],[DATE]])</f>
        <v>3</v>
      </c>
      <c r="P59" s="7">
        <f>YEAR(InputData4[[#This Row],[DATE]])</f>
        <v>2021</v>
      </c>
    </row>
    <row r="60" spans="1:16" x14ac:dyDescent="0.3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  <c r="G60" t="str">
        <f>VLOOKUP(InputData4[[#This Row],[PRODUCT ID]],MasterData[],2,0)</f>
        <v>Product39</v>
      </c>
      <c r="H60" t="str">
        <f>VLOOKUP(InputData4[[#This Row],[PRODUCT ID]],MasterData[],3,0)</f>
        <v>Category05</v>
      </c>
      <c r="I60" t="str">
        <f>VLOOKUP(InputData4[[#This Row],[PRODUCT ID]],MasterData[],4,0)</f>
        <v>No.</v>
      </c>
      <c r="J60" s="9">
        <f>VLOOKUP(InputData4[[#This Row],[PRODUCT ID]],MasterData[],5,0)</f>
        <v>37</v>
      </c>
      <c r="K60" s="9">
        <f>VLOOKUP(InputData4[[#This Row],[PRODUCT ID]],MasterData[],6,0)</f>
        <v>42.55</v>
      </c>
      <c r="L60" s="9">
        <f>InputData4[[#This Row],[QUANTITY]]*InputData4[[#This Row],[BUYING PRIZE]]</f>
        <v>407</v>
      </c>
      <c r="M60" s="9">
        <f>InputData4[[#This Row],[QUANTITY]]*InputData4[[#This Row],[SELLING PRICE]]*(1-InputData4[[#This Row],[DISCOUNT %]])</f>
        <v>468.04999999999995</v>
      </c>
      <c r="N60" s="7">
        <f>DAY(InputData4[[#This Row],[DATE]])</f>
        <v>15</v>
      </c>
      <c r="O60" s="7">
        <f>MONTH(InputData4[[#This Row],[DATE]])</f>
        <v>3</v>
      </c>
      <c r="P60" s="7">
        <f>YEAR(InputData4[[#This Row],[DATE]])</f>
        <v>2021</v>
      </c>
    </row>
    <row r="61" spans="1:16" x14ac:dyDescent="0.3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  <c r="G61" t="str">
        <f>VLOOKUP(InputData4[[#This Row],[PRODUCT ID]],MasterData[],2,0)</f>
        <v>Product12</v>
      </c>
      <c r="H61" t="str">
        <f>VLOOKUP(InputData4[[#This Row],[PRODUCT ID]],MasterData[],3,0)</f>
        <v>Category02</v>
      </c>
      <c r="I61" t="str">
        <f>VLOOKUP(InputData4[[#This Row],[PRODUCT ID]],MasterData[],4,0)</f>
        <v>Kg</v>
      </c>
      <c r="J61" s="9">
        <f>VLOOKUP(InputData4[[#This Row],[PRODUCT ID]],MasterData[],5,0)</f>
        <v>73</v>
      </c>
      <c r="K61" s="9">
        <f>VLOOKUP(InputData4[[#This Row],[PRODUCT ID]],MasterData[],6,0)</f>
        <v>94.17</v>
      </c>
      <c r="L61" s="9">
        <f>InputData4[[#This Row],[QUANTITY]]*InputData4[[#This Row],[BUYING PRIZE]]</f>
        <v>1022</v>
      </c>
      <c r="M61" s="9">
        <f>InputData4[[#This Row],[QUANTITY]]*InputData4[[#This Row],[SELLING PRICE]]*(1-InputData4[[#This Row],[DISCOUNT %]])</f>
        <v>1318.38</v>
      </c>
      <c r="N61" s="7">
        <f>DAY(InputData4[[#This Row],[DATE]])</f>
        <v>16</v>
      </c>
      <c r="O61" s="7">
        <f>MONTH(InputData4[[#This Row],[DATE]])</f>
        <v>3</v>
      </c>
      <c r="P61" s="7">
        <f>YEAR(InputData4[[#This Row],[DATE]])</f>
        <v>2021</v>
      </c>
    </row>
    <row r="62" spans="1:16" x14ac:dyDescent="0.3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  <c r="G62" t="str">
        <f>VLOOKUP(InputData4[[#This Row],[PRODUCT ID]],MasterData[],2,0)</f>
        <v>Product42</v>
      </c>
      <c r="H62" t="str">
        <f>VLOOKUP(InputData4[[#This Row],[PRODUCT ID]],MasterData[],3,0)</f>
        <v>Category05</v>
      </c>
      <c r="I62" t="str">
        <f>VLOOKUP(InputData4[[#This Row],[PRODUCT ID]],MasterData[],4,0)</f>
        <v>Ft</v>
      </c>
      <c r="J62" s="9">
        <f>VLOOKUP(InputData4[[#This Row],[PRODUCT ID]],MasterData[],5,0)</f>
        <v>120</v>
      </c>
      <c r="K62" s="9">
        <f>VLOOKUP(InputData4[[#This Row],[PRODUCT ID]],MasterData[],6,0)</f>
        <v>162</v>
      </c>
      <c r="L62" s="9">
        <f>InputData4[[#This Row],[QUANTITY]]*InputData4[[#This Row],[BUYING PRIZE]]</f>
        <v>960</v>
      </c>
      <c r="M62" s="9">
        <f>InputData4[[#This Row],[QUANTITY]]*InputData4[[#This Row],[SELLING PRICE]]*(1-InputData4[[#This Row],[DISCOUNT %]])</f>
        <v>1296</v>
      </c>
      <c r="N62" s="7">
        <f>DAY(InputData4[[#This Row],[DATE]])</f>
        <v>18</v>
      </c>
      <c r="O62" s="7">
        <f>MONTH(InputData4[[#This Row],[DATE]])</f>
        <v>3</v>
      </c>
      <c r="P62" s="7">
        <f>YEAR(InputData4[[#This Row],[DATE]])</f>
        <v>2021</v>
      </c>
    </row>
    <row r="63" spans="1:16" x14ac:dyDescent="0.3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  <c r="G63" t="str">
        <f>VLOOKUP(InputData4[[#This Row],[PRODUCT ID]],MasterData[],2,0)</f>
        <v>Product28</v>
      </c>
      <c r="H63" t="str">
        <f>VLOOKUP(InputData4[[#This Row],[PRODUCT ID]],MasterData[],3,0)</f>
        <v>Category04</v>
      </c>
      <c r="I63" t="str">
        <f>VLOOKUP(InputData4[[#This Row],[PRODUCT ID]],MasterData[],4,0)</f>
        <v>No.</v>
      </c>
      <c r="J63" s="9">
        <f>VLOOKUP(InputData4[[#This Row],[PRODUCT ID]],MasterData[],5,0)</f>
        <v>37</v>
      </c>
      <c r="K63" s="9">
        <f>VLOOKUP(InputData4[[#This Row],[PRODUCT ID]],MasterData[],6,0)</f>
        <v>41.81</v>
      </c>
      <c r="L63" s="9">
        <f>InputData4[[#This Row],[QUANTITY]]*InputData4[[#This Row],[BUYING PRIZE]]</f>
        <v>333</v>
      </c>
      <c r="M63" s="9">
        <f>InputData4[[#This Row],[QUANTITY]]*InputData4[[#This Row],[SELLING PRICE]]*(1-InputData4[[#This Row],[DISCOUNT %]])</f>
        <v>376.29</v>
      </c>
      <c r="N63" s="7">
        <f>DAY(InputData4[[#This Row],[DATE]])</f>
        <v>19</v>
      </c>
      <c r="O63" s="7">
        <f>MONTH(InputData4[[#This Row],[DATE]])</f>
        <v>3</v>
      </c>
      <c r="P63" s="7">
        <f>YEAR(InputData4[[#This Row],[DATE]])</f>
        <v>2021</v>
      </c>
    </row>
    <row r="64" spans="1:16" x14ac:dyDescent="0.3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  <c r="G64" t="str">
        <f>VLOOKUP(InputData4[[#This Row],[PRODUCT ID]],MasterData[],2,0)</f>
        <v>Product20</v>
      </c>
      <c r="H64" t="str">
        <f>VLOOKUP(InputData4[[#This Row],[PRODUCT ID]],MasterData[],3,0)</f>
        <v>Category03</v>
      </c>
      <c r="I64" t="str">
        <f>VLOOKUP(InputData4[[#This Row],[PRODUCT ID]],MasterData[],4,0)</f>
        <v>Lt</v>
      </c>
      <c r="J64" s="9">
        <f>VLOOKUP(InputData4[[#This Row],[PRODUCT ID]],MasterData[],5,0)</f>
        <v>61</v>
      </c>
      <c r="K64" s="9">
        <f>VLOOKUP(InputData4[[#This Row],[PRODUCT ID]],MasterData[],6,0)</f>
        <v>76.25</v>
      </c>
      <c r="L64" s="9">
        <f>InputData4[[#This Row],[QUANTITY]]*InputData4[[#This Row],[BUYING PRIZE]]</f>
        <v>793</v>
      </c>
      <c r="M64" s="9">
        <f>InputData4[[#This Row],[QUANTITY]]*InputData4[[#This Row],[SELLING PRICE]]*(1-InputData4[[#This Row],[DISCOUNT %]])</f>
        <v>991.25</v>
      </c>
      <c r="N64" s="7">
        <f>DAY(InputData4[[#This Row],[DATE]])</f>
        <v>21</v>
      </c>
      <c r="O64" s="7">
        <f>MONTH(InputData4[[#This Row],[DATE]])</f>
        <v>3</v>
      </c>
      <c r="P64" s="7">
        <f>YEAR(InputData4[[#This Row],[DATE]])</f>
        <v>2021</v>
      </c>
    </row>
    <row r="65" spans="1:16" x14ac:dyDescent="0.3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  <c r="G65" t="str">
        <f>VLOOKUP(InputData4[[#This Row],[PRODUCT ID]],MasterData[],2,0)</f>
        <v>Product39</v>
      </c>
      <c r="H65" t="str">
        <f>VLOOKUP(InputData4[[#This Row],[PRODUCT ID]],MasterData[],3,0)</f>
        <v>Category05</v>
      </c>
      <c r="I65" t="str">
        <f>VLOOKUP(InputData4[[#This Row],[PRODUCT ID]],MasterData[],4,0)</f>
        <v>No.</v>
      </c>
      <c r="J65" s="9">
        <f>VLOOKUP(InputData4[[#This Row],[PRODUCT ID]],MasterData[],5,0)</f>
        <v>37</v>
      </c>
      <c r="K65" s="9">
        <f>VLOOKUP(InputData4[[#This Row],[PRODUCT ID]],MasterData[],6,0)</f>
        <v>42.55</v>
      </c>
      <c r="L65" s="9">
        <f>InputData4[[#This Row],[QUANTITY]]*InputData4[[#This Row],[BUYING PRIZE]]</f>
        <v>259</v>
      </c>
      <c r="M65" s="9">
        <f>InputData4[[#This Row],[QUANTITY]]*InputData4[[#This Row],[SELLING PRICE]]*(1-InputData4[[#This Row],[DISCOUNT %]])</f>
        <v>297.84999999999997</v>
      </c>
      <c r="N65" s="7">
        <f>DAY(InputData4[[#This Row],[DATE]])</f>
        <v>21</v>
      </c>
      <c r="O65" s="7">
        <f>MONTH(InputData4[[#This Row],[DATE]])</f>
        <v>3</v>
      </c>
      <c r="P65" s="7">
        <f>YEAR(InputData4[[#This Row],[DATE]])</f>
        <v>2021</v>
      </c>
    </row>
    <row r="66" spans="1:16" x14ac:dyDescent="0.3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  <c r="G66" t="str">
        <f>VLOOKUP(InputData4[[#This Row],[PRODUCT ID]],MasterData[],2,0)</f>
        <v>Product02</v>
      </c>
      <c r="H66" t="str">
        <f>VLOOKUP(InputData4[[#This Row],[PRODUCT ID]],MasterData[],3,0)</f>
        <v>Category01</v>
      </c>
      <c r="I66" t="str">
        <f>VLOOKUP(InputData4[[#This Row],[PRODUCT ID]],MasterData[],4,0)</f>
        <v>Kg</v>
      </c>
      <c r="J66" s="9">
        <f>VLOOKUP(InputData4[[#This Row],[PRODUCT ID]],MasterData[],5,0)</f>
        <v>105</v>
      </c>
      <c r="K66" s="9">
        <f>VLOOKUP(InputData4[[#This Row],[PRODUCT ID]],MasterData[],6,0)</f>
        <v>142.80000000000001</v>
      </c>
      <c r="L66" s="9">
        <f>InputData4[[#This Row],[QUANTITY]]*InputData4[[#This Row],[BUYING PRIZE]]</f>
        <v>840</v>
      </c>
      <c r="M66" s="9">
        <f>InputData4[[#This Row],[QUANTITY]]*InputData4[[#This Row],[SELLING PRICE]]*(1-InputData4[[#This Row],[DISCOUNT %]])</f>
        <v>1142.4000000000001</v>
      </c>
      <c r="N66" s="7">
        <f>DAY(InputData4[[#This Row],[DATE]])</f>
        <v>22</v>
      </c>
      <c r="O66" s="7">
        <f>MONTH(InputData4[[#This Row],[DATE]])</f>
        <v>3</v>
      </c>
      <c r="P66" s="7">
        <f>YEAR(InputData4[[#This Row],[DATE]])</f>
        <v>2021</v>
      </c>
    </row>
    <row r="67" spans="1:16" x14ac:dyDescent="0.3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  <c r="G67" t="str">
        <f>VLOOKUP(InputData4[[#This Row],[PRODUCT ID]],MasterData[],2,0)</f>
        <v>Product12</v>
      </c>
      <c r="H67" t="str">
        <f>VLOOKUP(InputData4[[#This Row],[PRODUCT ID]],MasterData[],3,0)</f>
        <v>Category02</v>
      </c>
      <c r="I67" t="str">
        <f>VLOOKUP(InputData4[[#This Row],[PRODUCT ID]],MasterData[],4,0)</f>
        <v>Kg</v>
      </c>
      <c r="J67" s="9">
        <f>VLOOKUP(InputData4[[#This Row],[PRODUCT ID]],MasterData[],5,0)</f>
        <v>73</v>
      </c>
      <c r="K67" s="9">
        <f>VLOOKUP(InputData4[[#This Row],[PRODUCT ID]],MasterData[],6,0)</f>
        <v>94.17</v>
      </c>
      <c r="L67" s="9">
        <f>InputData4[[#This Row],[QUANTITY]]*InputData4[[#This Row],[BUYING PRIZE]]</f>
        <v>292</v>
      </c>
      <c r="M67" s="9">
        <f>InputData4[[#This Row],[QUANTITY]]*InputData4[[#This Row],[SELLING PRICE]]*(1-InputData4[[#This Row],[DISCOUNT %]])</f>
        <v>376.68</v>
      </c>
      <c r="N67" s="7">
        <f>DAY(InputData4[[#This Row],[DATE]])</f>
        <v>22</v>
      </c>
      <c r="O67" s="7">
        <f>MONTH(InputData4[[#This Row],[DATE]])</f>
        <v>3</v>
      </c>
      <c r="P67" s="7">
        <f>YEAR(InputData4[[#This Row],[DATE]])</f>
        <v>2021</v>
      </c>
    </row>
    <row r="68" spans="1:16" x14ac:dyDescent="0.3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  <c r="G68" t="str">
        <f>VLOOKUP(InputData4[[#This Row],[PRODUCT ID]],MasterData[],2,0)</f>
        <v>Product24</v>
      </c>
      <c r="H68" t="str">
        <f>VLOOKUP(InputData4[[#This Row],[PRODUCT ID]],MasterData[],3,0)</f>
        <v>Category03</v>
      </c>
      <c r="I68" t="str">
        <f>VLOOKUP(InputData4[[#This Row],[PRODUCT ID]],MasterData[],4,0)</f>
        <v>Ft</v>
      </c>
      <c r="J68" s="9">
        <f>VLOOKUP(InputData4[[#This Row],[PRODUCT ID]],MasterData[],5,0)</f>
        <v>144</v>
      </c>
      <c r="K68" s="9">
        <f>VLOOKUP(InputData4[[#This Row],[PRODUCT ID]],MasterData[],6,0)</f>
        <v>156.96</v>
      </c>
      <c r="L68" s="9">
        <f>InputData4[[#This Row],[QUANTITY]]*InputData4[[#This Row],[BUYING PRIZE]]</f>
        <v>2016</v>
      </c>
      <c r="M68" s="9">
        <f>InputData4[[#This Row],[QUANTITY]]*InputData4[[#This Row],[SELLING PRICE]]*(1-InputData4[[#This Row],[DISCOUNT %]])</f>
        <v>2197.44</v>
      </c>
      <c r="N68" s="7">
        <f>DAY(InputData4[[#This Row],[DATE]])</f>
        <v>25</v>
      </c>
      <c r="O68" s="7">
        <f>MONTH(InputData4[[#This Row],[DATE]])</f>
        <v>3</v>
      </c>
      <c r="P68" s="7">
        <f>YEAR(InputData4[[#This Row],[DATE]])</f>
        <v>2021</v>
      </c>
    </row>
    <row r="69" spans="1:16" x14ac:dyDescent="0.3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  <c r="G69" t="str">
        <f>VLOOKUP(InputData4[[#This Row],[PRODUCT ID]],MasterData[],2,0)</f>
        <v>Product06</v>
      </c>
      <c r="H69" t="str">
        <f>VLOOKUP(InputData4[[#This Row],[PRODUCT ID]],MasterData[],3,0)</f>
        <v>Category01</v>
      </c>
      <c r="I69" t="str">
        <f>VLOOKUP(InputData4[[#This Row],[PRODUCT ID]],MasterData[],4,0)</f>
        <v>Kg</v>
      </c>
      <c r="J69" s="9">
        <f>VLOOKUP(InputData4[[#This Row],[PRODUCT ID]],MasterData[],5,0)</f>
        <v>75</v>
      </c>
      <c r="K69" s="9">
        <f>VLOOKUP(InputData4[[#This Row],[PRODUCT ID]],MasterData[],6,0)</f>
        <v>85.5</v>
      </c>
      <c r="L69" s="9">
        <f>InputData4[[#This Row],[QUANTITY]]*InputData4[[#This Row],[BUYING PRIZE]]</f>
        <v>300</v>
      </c>
      <c r="M69" s="9">
        <f>InputData4[[#This Row],[QUANTITY]]*InputData4[[#This Row],[SELLING PRICE]]*(1-InputData4[[#This Row],[DISCOUNT %]])</f>
        <v>342</v>
      </c>
      <c r="N69" s="7">
        <f>DAY(InputData4[[#This Row],[DATE]])</f>
        <v>25</v>
      </c>
      <c r="O69" s="7">
        <f>MONTH(InputData4[[#This Row],[DATE]])</f>
        <v>3</v>
      </c>
      <c r="P69" s="7">
        <f>YEAR(InputData4[[#This Row],[DATE]])</f>
        <v>2021</v>
      </c>
    </row>
    <row r="70" spans="1:16" x14ac:dyDescent="0.3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  <c r="G70" t="str">
        <f>VLOOKUP(InputData4[[#This Row],[PRODUCT ID]],MasterData[],2,0)</f>
        <v>Product29</v>
      </c>
      <c r="H70" t="str">
        <f>VLOOKUP(InputData4[[#This Row],[PRODUCT ID]],MasterData[],3,0)</f>
        <v>Category04</v>
      </c>
      <c r="I70" t="str">
        <f>VLOOKUP(InputData4[[#This Row],[PRODUCT ID]],MasterData[],4,0)</f>
        <v>Lt</v>
      </c>
      <c r="J70" s="9">
        <f>VLOOKUP(InputData4[[#This Row],[PRODUCT ID]],MasterData[],5,0)</f>
        <v>47</v>
      </c>
      <c r="K70" s="9">
        <f>VLOOKUP(InputData4[[#This Row],[PRODUCT ID]],MasterData[],6,0)</f>
        <v>53.11</v>
      </c>
      <c r="L70" s="9">
        <f>InputData4[[#This Row],[QUANTITY]]*InputData4[[#This Row],[BUYING PRIZE]]</f>
        <v>376</v>
      </c>
      <c r="M70" s="9">
        <f>InputData4[[#This Row],[QUANTITY]]*InputData4[[#This Row],[SELLING PRICE]]*(1-InputData4[[#This Row],[DISCOUNT %]])</f>
        <v>424.88</v>
      </c>
      <c r="N70" s="7">
        <f>DAY(InputData4[[#This Row],[DATE]])</f>
        <v>25</v>
      </c>
      <c r="O70" s="7">
        <f>MONTH(InputData4[[#This Row],[DATE]])</f>
        <v>3</v>
      </c>
      <c r="P70" s="7">
        <f>YEAR(InputData4[[#This Row],[DATE]])</f>
        <v>2021</v>
      </c>
    </row>
    <row r="71" spans="1:16" x14ac:dyDescent="0.3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  <c r="G71" t="str">
        <f>VLOOKUP(InputData4[[#This Row],[PRODUCT ID]],MasterData[],2,0)</f>
        <v>Product38</v>
      </c>
      <c r="H71" t="str">
        <f>VLOOKUP(InputData4[[#This Row],[PRODUCT ID]],MasterData[],3,0)</f>
        <v>Category05</v>
      </c>
      <c r="I71" t="str">
        <f>VLOOKUP(InputData4[[#This Row],[PRODUCT ID]],MasterData[],4,0)</f>
        <v>Kg</v>
      </c>
      <c r="J71" s="9">
        <f>VLOOKUP(InputData4[[#This Row],[PRODUCT ID]],MasterData[],5,0)</f>
        <v>72</v>
      </c>
      <c r="K71" s="9">
        <f>VLOOKUP(InputData4[[#This Row],[PRODUCT ID]],MasterData[],6,0)</f>
        <v>79.92</v>
      </c>
      <c r="L71" s="9">
        <f>InputData4[[#This Row],[QUANTITY]]*InputData4[[#This Row],[BUYING PRIZE]]</f>
        <v>144</v>
      </c>
      <c r="M71" s="9">
        <f>InputData4[[#This Row],[QUANTITY]]*InputData4[[#This Row],[SELLING PRICE]]*(1-InputData4[[#This Row],[DISCOUNT %]])</f>
        <v>159.84</v>
      </c>
      <c r="N71" s="7">
        <f>DAY(InputData4[[#This Row],[DATE]])</f>
        <v>25</v>
      </c>
      <c r="O71" s="7">
        <f>MONTH(InputData4[[#This Row],[DATE]])</f>
        <v>3</v>
      </c>
      <c r="P71" s="7">
        <f>YEAR(InputData4[[#This Row],[DATE]])</f>
        <v>2021</v>
      </c>
    </row>
    <row r="72" spans="1:16" x14ac:dyDescent="0.3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  <c r="G72" t="str">
        <f>VLOOKUP(InputData4[[#This Row],[PRODUCT ID]],MasterData[],2,0)</f>
        <v>Product01</v>
      </c>
      <c r="H72" t="str">
        <f>VLOOKUP(InputData4[[#This Row],[PRODUCT ID]],MasterData[],3,0)</f>
        <v>Category01</v>
      </c>
      <c r="I72" t="str">
        <f>VLOOKUP(InputData4[[#This Row],[PRODUCT ID]],MasterData[],4,0)</f>
        <v>Kg</v>
      </c>
      <c r="J72" s="9">
        <f>VLOOKUP(InputData4[[#This Row],[PRODUCT ID]],MasterData[],5,0)</f>
        <v>98</v>
      </c>
      <c r="K72" s="9">
        <f>VLOOKUP(InputData4[[#This Row],[PRODUCT ID]],MasterData[],6,0)</f>
        <v>103.88</v>
      </c>
      <c r="L72" s="9">
        <f>InputData4[[#This Row],[QUANTITY]]*InputData4[[#This Row],[BUYING PRIZE]]</f>
        <v>392</v>
      </c>
      <c r="M72" s="9">
        <f>InputData4[[#This Row],[QUANTITY]]*InputData4[[#This Row],[SELLING PRICE]]*(1-InputData4[[#This Row],[DISCOUNT %]])</f>
        <v>415.52</v>
      </c>
      <c r="N72" s="7">
        <f>DAY(InputData4[[#This Row],[DATE]])</f>
        <v>26</v>
      </c>
      <c r="O72" s="7">
        <f>MONTH(InputData4[[#This Row],[DATE]])</f>
        <v>3</v>
      </c>
      <c r="P72" s="7">
        <f>YEAR(InputData4[[#This Row],[DATE]])</f>
        <v>2021</v>
      </c>
    </row>
    <row r="73" spans="1:16" x14ac:dyDescent="0.3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  <c r="G73" t="str">
        <f>VLOOKUP(InputData4[[#This Row],[PRODUCT ID]],MasterData[],2,0)</f>
        <v>Product42</v>
      </c>
      <c r="H73" t="str">
        <f>VLOOKUP(InputData4[[#This Row],[PRODUCT ID]],MasterData[],3,0)</f>
        <v>Category05</v>
      </c>
      <c r="I73" t="str">
        <f>VLOOKUP(InputData4[[#This Row],[PRODUCT ID]],MasterData[],4,0)</f>
        <v>Ft</v>
      </c>
      <c r="J73" s="9">
        <f>VLOOKUP(InputData4[[#This Row],[PRODUCT ID]],MasterData[],5,0)</f>
        <v>120</v>
      </c>
      <c r="K73" s="9">
        <f>VLOOKUP(InputData4[[#This Row],[PRODUCT ID]],MasterData[],6,0)</f>
        <v>162</v>
      </c>
      <c r="L73" s="9">
        <f>InputData4[[#This Row],[QUANTITY]]*InputData4[[#This Row],[BUYING PRIZE]]</f>
        <v>120</v>
      </c>
      <c r="M73" s="9">
        <f>InputData4[[#This Row],[QUANTITY]]*InputData4[[#This Row],[SELLING PRICE]]*(1-InputData4[[#This Row],[DISCOUNT %]])</f>
        <v>162</v>
      </c>
      <c r="N73" s="7">
        <f>DAY(InputData4[[#This Row],[DATE]])</f>
        <v>26</v>
      </c>
      <c r="O73" s="7">
        <f>MONTH(InputData4[[#This Row],[DATE]])</f>
        <v>3</v>
      </c>
      <c r="P73" s="7">
        <f>YEAR(InputData4[[#This Row],[DATE]])</f>
        <v>2021</v>
      </c>
    </row>
    <row r="74" spans="1:16" x14ac:dyDescent="0.3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  <c r="G74" t="str">
        <f>VLOOKUP(InputData4[[#This Row],[PRODUCT ID]],MasterData[],2,0)</f>
        <v>Product10</v>
      </c>
      <c r="H74" t="str">
        <f>VLOOKUP(InputData4[[#This Row],[PRODUCT ID]],MasterData[],3,0)</f>
        <v>Category02</v>
      </c>
      <c r="I74" t="str">
        <f>VLOOKUP(InputData4[[#This Row],[PRODUCT ID]],MasterData[],4,0)</f>
        <v>Ft</v>
      </c>
      <c r="J74" s="9">
        <f>VLOOKUP(InputData4[[#This Row],[PRODUCT ID]],MasterData[],5,0)</f>
        <v>148</v>
      </c>
      <c r="K74" s="9">
        <f>VLOOKUP(InputData4[[#This Row],[PRODUCT ID]],MasterData[],6,0)</f>
        <v>164.28</v>
      </c>
      <c r="L74" s="9">
        <f>InputData4[[#This Row],[QUANTITY]]*InputData4[[#This Row],[BUYING PRIZE]]</f>
        <v>1332</v>
      </c>
      <c r="M74" s="9">
        <f>InputData4[[#This Row],[QUANTITY]]*InputData4[[#This Row],[SELLING PRICE]]*(1-InputData4[[#This Row],[DISCOUNT %]])</f>
        <v>1478.52</v>
      </c>
      <c r="N74" s="7">
        <f>DAY(InputData4[[#This Row],[DATE]])</f>
        <v>26</v>
      </c>
      <c r="O74" s="7">
        <f>MONTH(InputData4[[#This Row],[DATE]])</f>
        <v>3</v>
      </c>
      <c r="P74" s="7">
        <f>YEAR(InputData4[[#This Row],[DATE]])</f>
        <v>2021</v>
      </c>
    </row>
    <row r="75" spans="1:16" x14ac:dyDescent="0.3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  <c r="G75" t="str">
        <f>VLOOKUP(InputData4[[#This Row],[PRODUCT ID]],MasterData[],2,0)</f>
        <v>Product30</v>
      </c>
      <c r="H75" t="str">
        <f>VLOOKUP(InputData4[[#This Row],[PRODUCT ID]],MasterData[],3,0)</f>
        <v>Category04</v>
      </c>
      <c r="I75" t="str">
        <f>VLOOKUP(InputData4[[#This Row],[PRODUCT ID]],MasterData[],4,0)</f>
        <v>Ft</v>
      </c>
      <c r="J75" s="9">
        <f>VLOOKUP(InputData4[[#This Row],[PRODUCT ID]],MasterData[],5,0)</f>
        <v>148</v>
      </c>
      <c r="K75" s="9">
        <f>VLOOKUP(InputData4[[#This Row],[PRODUCT ID]],MasterData[],6,0)</f>
        <v>201.28</v>
      </c>
      <c r="L75" s="9">
        <f>InputData4[[#This Row],[QUANTITY]]*InputData4[[#This Row],[BUYING PRIZE]]</f>
        <v>444</v>
      </c>
      <c r="M75" s="9">
        <f>InputData4[[#This Row],[QUANTITY]]*InputData4[[#This Row],[SELLING PRICE]]*(1-InputData4[[#This Row],[DISCOUNT %]])</f>
        <v>603.84</v>
      </c>
      <c r="N75" s="7">
        <f>DAY(InputData4[[#This Row],[DATE]])</f>
        <v>27</v>
      </c>
      <c r="O75" s="7">
        <f>MONTH(InputData4[[#This Row],[DATE]])</f>
        <v>3</v>
      </c>
      <c r="P75" s="7">
        <f>YEAR(InputData4[[#This Row],[DATE]])</f>
        <v>2021</v>
      </c>
    </row>
    <row r="76" spans="1:16" x14ac:dyDescent="0.3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  <c r="G76" t="str">
        <f>VLOOKUP(InputData4[[#This Row],[PRODUCT ID]],MasterData[],2,0)</f>
        <v>Product07</v>
      </c>
      <c r="H76" t="str">
        <f>VLOOKUP(InputData4[[#This Row],[PRODUCT ID]],MasterData[],3,0)</f>
        <v>Category01</v>
      </c>
      <c r="I76" t="str">
        <f>VLOOKUP(InputData4[[#This Row],[PRODUCT ID]],MasterData[],4,0)</f>
        <v>Lt</v>
      </c>
      <c r="J76" s="9">
        <f>VLOOKUP(InputData4[[#This Row],[PRODUCT ID]],MasterData[],5,0)</f>
        <v>43</v>
      </c>
      <c r="K76" s="9">
        <f>VLOOKUP(InputData4[[#This Row],[PRODUCT ID]],MasterData[],6,0)</f>
        <v>47.730000000000004</v>
      </c>
      <c r="L76" s="9">
        <f>InputData4[[#This Row],[QUANTITY]]*InputData4[[#This Row],[BUYING PRIZE]]</f>
        <v>344</v>
      </c>
      <c r="M76" s="9">
        <f>InputData4[[#This Row],[QUANTITY]]*InputData4[[#This Row],[SELLING PRICE]]*(1-InputData4[[#This Row],[DISCOUNT %]])</f>
        <v>381.84000000000003</v>
      </c>
      <c r="N76" s="7">
        <f>DAY(InputData4[[#This Row],[DATE]])</f>
        <v>28</v>
      </c>
      <c r="O76" s="7">
        <f>MONTH(InputData4[[#This Row],[DATE]])</f>
        <v>3</v>
      </c>
      <c r="P76" s="7">
        <f>YEAR(InputData4[[#This Row],[DATE]])</f>
        <v>2021</v>
      </c>
    </row>
    <row r="77" spans="1:16" x14ac:dyDescent="0.3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  <c r="G77" t="str">
        <f>VLOOKUP(InputData4[[#This Row],[PRODUCT ID]],MasterData[],2,0)</f>
        <v>Product38</v>
      </c>
      <c r="H77" t="str">
        <f>VLOOKUP(InputData4[[#This Row],[PRODUCT ID]],MasterData[],3,0)</f>
        <v>Category05</v>
      </c>
      <c r="I77" t="str">
        <f>VLOOKUP(InputData4[[#This Row],[PRODUCT ID]],MasterData[],4,0)</f>
        <v>Kg</v>
      </c>
      <c r="J77" s="9">
        <f>VLOOKUP(InputData4[[#This Row],[PRODUCT ID]],MasterData[],5,0)</f>
        <v>72</v>
      </c>
      <c r="K77" s="9">
        <f>VLOOKUP(InputData4[[#This Row],[PRODUCT ID]],MasterData[],6,0)</f>
        <v>79.92</v>
      </c>
      <c r="L77" s="9">
        <f>InputData4[[#This Row],[QUANTITY]]*InputData4[[#This Row],[BUYING PRIZE]]</f>
        <v>72</v>
      </c>
      <c r="M77" s="9">
        <f>InputData4[[#This Row],[QUANTITY]]*InputData4[[#This Row],[SELLING PRICE]]*(1-InputData4[[#This Row],[DISCOUNT %]])</f>
        <v>79.92</v>
      </c>
      <c r="N77" s="7">
        <f>DAY(InputData4[[#This Row],[DATE]])</f>
        <v>30</v>
      </c>
      <c r="O77" s="7">
        <f>MONTH(InputData4[[#This Row],[DATE]])</f>
        <v>3</v>
      </c>
      <c r="P77" s="7">
        <f>YEAR(InputData4[[#This Row],[DATE]])</f>
        <v>2021</v>
      </c>
    </row>
    <row r="78" spans="1:16" x14ac:dyDescent="0.3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  <c r="G78" t="str">
        <f>VLOOKUP(InputData4[[#This Row],[PRODUCT ID]],MasterData[],2,0)</f>
        <v>Product42</v>
      </c>
      <c r="H78" t="str">
        <f>VLOOKUP(InputData4[[#This Row],[PRODUCT ID]],MasterData[],3,0)</f>
        <v>Category05</v>
      </c>
      <c r="I78" t="str">
        <f>VLOOKUP(InputData4[[#This Row],[PRODUCT ID]],MasterData[],4,0)</f>
        <v>Ft</v>
      </c>
      <c r="J78" s="9">
        <f>VLOOKUP(InputData4[[#This Row],[PRODUCT ID]],MasterData[],5,0)</f>
        <v>120</v>
      </c>
      <c r="K78" s="9">
        <f>VLOOKUP(InputData4[[#This Row],[PRODUCT ID]],MasterData[],6,0)</f>
        <v>162</v>
      </c>
      <c r="L78" s="9">
        <f>InputData4[[#This Row],[QUANTITY]]*InputData4[[#This Row],[BUYING PRIZE]]</f>
        <v>360</v>
      </c>
      <c r="M78" s="9">
        <f>InputData4[[#This Row],[QUANTITY]]*InputData4[[#This Row],[SELLING PRICE]]*(1-InputData4[[#This Row],[DISCOUNT %]])</f>
        <v>486</v>
      </c>
      <c r="N78" s="7">
        <f>DAY(InputData4[[#This Row],[DATE]])</f>
        <v>31</v>
      </c>
      <c r="O78" s="7">
        <f>MONTH(InputData4[[#This Row],[DATE]])</f>
        <v>3</v>
      </c>
      <c r="P78" s="7">
        <f>YEAR(InputData4[[#This Row],[DATE]])</f>
        <v>2021</v>
      </c>
    </row>
    <row r="79" spans="1:16" x14ac:dyDescent="0.3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  <c r="G79" t="str">
        <f>VLOOKUP(InputData4[[#This Row],[PRODUCT ID]],MasterData[],2,0)</f>
        <v>Product40</v>
      </c>
      <c r="H79" t="str">
        <f>VLOOKUP(InputData4[[#This Row],[PRODUCT ID]],MasterData[],3,0)</f>
        <v>Category05</v>
      </c>
      <c r="I79" t="str">
        <f>VLOOKUP(InputData4[[#This Row],[PRODUCT ID]],MasterData[],4,0)</f>
        <v>Kg</v>
      </c>
      <c r="J79" s="9">
        <f>VLOOKUP(InputData4[[#This Row],[PRODUCT ID]],MasterData[],5,0)</f>
        <v>90</v>
      </c>
      <c r="K79" s="9">
        <f>VLOOKUP(InputData4[[#This Row],[PRODUCT ID]],MasterData[],6,0)</f>
        <v>115.2</v>
      </c>
      <c r="L79" s="9">
        <f>InputData4[[#This Row],[QUANTITY]]*InputData4[[#This Row],[BUYING PRIZE]]</f>
        <v>360</v>
      </c>
      <c r="M79" s="9">
        <f>InputData4[[#This Row],[QUANTITY]]*InputData4[[#This Row],[SELLING PRICE]]*(1-InputData4[[#This Row],[DISCOUNT %]])</f>
        <v>460.8</v>
      </c>
      <c r="N79" s="7">
        <f>DAY(InputData4[[#This Row],[DATE]])</f>
        <v>4</v>
      </c>
      <c r="O79" s="7">
        <f>MONTH(InputData4[[#This Row],[DATE]])</f>
        <v>4</v>
      </c>
      <c r="P79" s="7">
        <f>YEAR(InputData4[[#This Row],[DATE]])</f>
        <v>2021</v>
      </c>
    </row>
    <row r="80" spans="1:16" x14ac:dyDescent="0.3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  <c r="G80" t="str">
        <f>VLOOKUP(InputData4[[#This Row],[PRODUCT ID]],MasterData[],2,0)</f>
        <v>Product09</v>
      </c>
      <c r="H80" t="str">
        <f>VLOOKUP(InputData4[[#This Row],[PRODUCT ID]],MasterData[],3,0)</f>
        <v>Category01</v>
      </c>
      <c r="I80" t="str">
        <f>VLOOKUP(InputData4[[#This Row],[PRODUCT ID]],MasterData[],4,0)</f>
        <v>No.</v>
      </c>
      <c r="J80" s="9">
        <f>VLOOKUP(InputData4[[#This Row],[PRODUCT ID]],MasterData[],5,0)</f>
        <v>6</v>
      </c>
      <c r="K80" s="9">
        <f>VLOOKUP(InputData4[[#This Row],[PRODUCT ID]],MasterData[],6,0)</f>
        <v>7.8599999999999994</v>
      </c>
      <c r="L80" s="9">
        <f>InputData4[[#This Row],[QUANTITY]]*InputData4[[#This Row],[BUYING PRIZE]]</f>
        <v>54</v>
      </c>
      <c r="M80" s="9">
        <f>InputData4[[#This Row],[QUANTITY]]*InputData4[[#This Row],[SELLING PRICE]]*(1-InputData4[[#This Row],[DISCOUNT %]])</f>
        <v>70.739999999999995</v>
      </c>
      <c r="N80" s="7">
        <f>DAY(InputData4[[#This Row],[DATE]])</f>
        <v>4</v>
      </c>
      <c r="O80" s="7">
        <f>MONTH(InputData4[[#This Row],[DATE]])</f>
        <v>4</v>
      </c>
      <c r="P80" s="7">
        <f>YEAR(InputData4[[#This Row],[DATE]])</f>
        <v>2021</v>
      </c>
    </row>
    <row r="81" spans="1:16" x14ac:dyDescent="0.3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  <c r="G81" t="str">
        <f>VLOOKUP(InputData4[[#This Row],[PRODUCT ID]],MasterData[],2,0)</f>
        <v>Product31</v>
      </c>
      <c r="H81" t="str">
        <f>VLOOKUP(InputData4[[#This Row],[PRODUCT ID]],MasterData[],3,0)</f>
        <v>Category04</v>
      </c>
      <c r="I81" t="str">
        <f>VLOOKUP(InputData4[[#This Row],[PRODUCT ID]],MasterData[],4,0)</f>
        <v>Kg</v>
      </c>
      <c r="J81" s="9">
        <f>VLOOKUP(InputData4[[#This Row],[PRODUCT ID]],MasterData[],5,0)</f>
        <v>93</v>
      </c>
      <c r="K81" s="9">
        <f>VLOOKUP(InputData4[[#This Row],[PRODUCT ID]],MasterData[],6,0)</f>
        <v>104.16</v>
      </c>
      <c r="L81" s="9">
        <f>InputData4[[#This Row],[QUANTITY]]*InputData4[[#This Row],[BUYING PRIZE]]</f>
        <v>1395</v>
      </c>
      <c r="M81" s="9">
        <f>InputData4[[#This Row],[QUANTITY]]*InputData4[[#This Row],[SELLING PRICE]]*(1-InputData4[[#This Row],[DISCOUNT %]])</f>
        <v>1562.3999999999999</v>
      </c>
      <c r="N81" s="7">
        <f>DAY(InputData4[[#This Row],[DATE]])</f>
        <v>5</v>
      </c>
      <c r="O81" s="7">
        <f>MONTH(InputData4[[#This Row],[DATE]])</f>
        <v>4</v>
      </c>
      <c r="P81" s="7">
        <f>YEAR(InputData4[[#This Row],[DATE]])</f>
        <v>2021</v>
      </c>
    </row>
    <row r="82" spans="1:16" x14ac:dyDescent="0.3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  <c r="G82" t="str">
        <f>VLOOKUP(InputData4[[#This Row],[PRODUCT ID]],MasterData[],2,0)</f>
        <v>Product05</v>
      </c>
      <c r="H82" t="str">
        <f>VLOOKUP(InputData4[[#This Row],[PRODUCT ID]],MasterData[],3,0)</f>
        <v>Category01</v>
      </c>
      <c r="I82" t="str">
        <f>VLOOKUP(InputData4[[#This Row],[PRODUCT ID]],MasterData[],4,0)</f>
        <v>Ft</v>
      </c>
      <c r="J82" s="9">
        <f>VLOOKUP(InputData4[[#This Row],[PRODUCT ID]],MasterData[],5,0)</f>
        <v>133</v>
      </c>
      <c r="K82" s="9">
        <f>VLOOKUP(InputData4[[#This Row],[PRODUCT ID]],MasterData[],6,0)</f>
        <v>155.61000000000001</v>
      </c>
      <c r="L82" s="9">
        <f>InputData4[[#This Row],[QUANTITY]]*InputData4[[#This Row],[BUYING PRIZE]]</f>
        <v>399</v>
      </c>
      <c r="M82" s="9">
        <f>InputData4[[#This Row],[QUANTITY]]*InputData4[[#This Row],[SELLING PRICE]]*(1-InputData4[[#This Row],[DISCOUNT %]])</f>
        <v>466.83000000000004</v>
      </c>
      <c r="N82" s="7">
        <f>DAY(InputData4[[#This Row],[DATE]])</f>
        <v>9</v>
      </c>
      <c r="O82" s="7">
        <f>MONTH(InputData4[[#This Row],[DATE]])</f>
        <v>4</v>
      </c>
      <c r="P82" s="7">
        <f>YEAR(InputData4[[#This Row],[DATE]])</f>
        <v>2021</v>
      </c>
    </row>
    <row r="83" spans="1:16" x14ac:dyDescent="0.3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  <c r="G83" t="str">
        <f>VLOOKUP(InputData4[[#This Row],[PRODUCT ID]],MasterData[],2,0)</f>
        <v>Product22</v>
      </c>
      <c r="H83" t="str">
        <f>VLOOKUP(InputData4[[#This Row],[PRODUCT ID]],MasterData[],3,0)</f>
        <v>Category03</v>
      </c>
      <c r="I83" t="str">
        <f>VLOOKUP(InputData4[[#This Row],[PRODUCT ID]],MasterData[],4,0)</f>
        <v>Ft</v>
      </c>
      <c r="J83" s="9">
        <f>VLOOKUP(InputData4[[#This Row],[PRODUCT ID]],MasterData[],5,0)</f>
        <v>121</v>
      </c>
      <c r="K83" s="9">
        <f>VLOOKUP(InputData4[[#This Row],[PRODUCT ID]],MasterData[],6,0)</f>
        <v>141.57</v>
      </c>
      <c r="L83" s="9">
        <f>InputData4[[#This Row],[QUANTITY]]*InputData4[[#This Row],[BUYING PRIZE]]</f>
        <v>1694</v>
      </c>
      <c r="M83" s="9">
        <f>InputData4[[#This Row],[QUANTITY]]*InputData4[[#This Row],[SELLING PRICE]]*(1-InputData4[[#This Row],[DISCOUNT %]])</f>
        <v>1981.98</v>
      </c>
      <c r="N83" s="7">
        <f>DAY(InputData4[[#This Row],[DATE]])</f>
        <v>10</v>
      </c>
      <c r="O83" s="7">
        <f>MONTH(InputData4[[#This Row],[DATE]])</f>
        <v>4</v>
      </c>
      <c r="P83" s="7">
        <f>YEAR(InputData4[[#This Row],[DATE]])</f>
        <v>2021</v>
      </c>
    </row>
    <row r="84" spans="1:16" x14ac:dyDescent="0.3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  <c r="G84" t="str">
        <f>VLOOKUP(InputData4[[#This Row],[PRODUCT ID]],MasterData[],2,0)</f>
        <v>Product37</v>
      </c>
      <c r="H84" t="str">
        <f>VLOOKUP(InputData4[[#This Row],[PRODUCT ID]],MasterData[],3,0)</f>
        <v>Category05</v>
      </c>
      <c r="I84" t="str">
        <f>VLOOKUP(InputData4[[#This Row],[PRODUCT ID]],MasterData[],4,0)</f>
        <v>Kg</v>
      </c>
      <c r="J84" s="9">
        <f>VLOOKUP(InputData4[[#This Row],[PRODUCT ID]],MasterData[],5,0)</f>
        <v>67</v>
      </c>
      <c r="K84" s="9">
        <f>VLOOKUP(InputData4[[#This Row],[PRODUCT ID]],MasterData[],6,0)</f>
        <v>85.76</v>
      </c>
      <c r="L84" s="9">
        <f>InputData4[[#This Row],[QUANTITY]]*InputData4[[#This Row],[BUYING PRIZE]]</f>
        <v>201</v>
      </c>
      <c r="M84" s="9">
        <f>InputData4[[#This Row],[QUANTITY]]*InputData4[[#This Row],[SELLING PRICE]]*(1-InputData4[[#This Row],[DISCOUNT %]])</f>
        <v>257.28000000000003</v>
      </c>
      <c r="N84" s="7">
        <f>DAY(InputData4[[#This Row],[DATE]])</f>
        <v>12</v>
      </c>
      <c r="O84" s="7">
        <f>MONTH(InputData4[[#This Row],[DATE]])</f>
        <v>4</v>
      </c>
      <c r="P84" s="7">
        <f>YEAR(InputData4[[#This Row],[DATE]])</f>
        <v>2021</v>
      </c>
    </row>
    <row r="85" spans="1:16" x14ac:dyDescent="0.3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  <c r="G85" t="str">
        <f>VLOOKUP(InputData4[[#This Row],[PRODUCT ID]],MasterData[],2,0)</f>
        <v>Product29</v>
      </c>
      <c r="H85" t="str">
        <f>VLOOKUP(InputData4[[#This Row],[PRODUCT ID]],MasterData[],3,0)</f>
        <v>Category04</v>
      </c>
      <c r="I85" t="str">
        <f>VLOOKUP(InputData4[[#This Row],[PRODUCT ID]],MasterData[],4,0)</f>
        <v>Lt</v>
      </c>
      <c r="J85" s="9">
        <f>VLOOKUP(InputData4[[#This Row],[PRODUCT ID]],MasterData[],5,0)</f>
        <v>47</v>
      </c>
      <c r="K85" s="9">
        <f>VLOOKUP(InputData4[[#This Row],[PRODUCT ID]],MasterData[],6,0)</f>
        <v>53.11</v>
      </c>
      <c r="L85" s="9">
        <f>InputData4[[#This Row],[QUANTITY]]*InputData4[[#This Row],[BUYING PRIZE]]</f>
        <v>188</v>
      </c>
      <c r="M85" s="9">
        <f>InputData4[[#This Row],[QUANTITY]]*InputData4[[#This Row],[SELLING PRICE]]*(1-InputData4[[#This Row],[DISCOUNT %]])</f>
        <v>212.44</v>
      </c>
      <c r="N85" s="7">
        <f>DAY(InputData4[[#This Row],[DATE]])</f>
        <v>12</v>
      </c>
      <c r="O85" s="7">
        <f>MONTH(InputData4[[#This Row],[DATE]])</f>
        <v>4</v>
      </c>
      <c r="P85" s="7">
        <f>YEAR(InputData4[[#This Row],[DATE]])</f>
        <v>2021</v>
      </c>
    </row>
    <row r="86" spans="1:16" x14ac:dyDescent="0.3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  <c r="G86" t="str">
        <f>VLOOKUP(InputData4[[#This Row],[PRODUCT ID]],MasterData[],2,0)</f>
        <v>Product27</v>
      </c>
      <c r="H86" t="str">
        <f>VLOOKUP(InputData4[[#This Row],[PRODUCT ID]],MasterData[],3,0)</f>
        <v>Category04</v>
      </c>
      <c r="I86" t="str">
        <f>VLOOKUP(InputData4[[#This Row],[PRODUCT ID]],MasterData[],4,0)</f>
        <v>Lt</v>
      </c>
      <c r="J86" s="9">
        <f>VLOOKUP(InputData4[[#This Row],[PRODUCT ID]],MasterData[],5,0)</f>
        <v>48</v>
      </c>
      <c r="K86" s="9">
        <f>VLOOKUP(InputData4[[#This Row],[PRODUCT ID]],MasterData[],6,0)</f>
        <v>57.120000000000005</v>
      </c>
      <c r="L86" s="9">
        <f>InputData4[[#This Row],[QUANTITY]]*InputData4[[#This Row],[BUYING PRIZE]]</f>
        <v>432</v>
      </c>
      <c r="M86" s="9">
        <f>InputData4[[#This Row],[QUANTITY]]*InputData4[[#This Row],[SELLING PRICE]]*(1-InputData4[[#This Row],[DISCOUNT %]])</f>
        <v>514.08000000000004</v>
      </c>
      <c r="N86" s="7">
        <f>DAY(InputData4[[#This Row],[DATE]])</f>
        <v>12</v>
      </c>
      <c r="O86" s="7">
        <f>MONTH(InputData4[[#This Row],[DATE]])</f>
        <v>4</v>
      </c>
      <c r="P86" s="7">
        <f>YEAR(InputData4[[#This Row],[DATE]])</f>
        <v>2021</v>
      </c>
    </row>
    <row r="87" spans="1:16" x14ac:dyDescent="0.3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  <c r="G87" t="str">
        <f>VLOOKUP(InputData4[[#This Row],[PRODUCT ID]],MasterData[],2,0)</f>
        <v>Product33</v>
      </c>
      <c r="H87" t="str">
        <f>VLOOKUP(InputData4[[#This Row],[PRODUCT ID]],MasterData[],3,0)</f>
        <v>Category04</v>
      </c>
      <c r="I87" t="str">
        <f>VLOOKUP(InputData4[[#This Row],[PRODUCT ID]],MasterData[],4,0)</f>
        <v>Kg</v>
      </c>
      <c r="J87" s="9">
        <f>VLOOKUP(InputData4[[#This Row],[PRODUCT ID]],MasterData[],5,0)</f>
        <v>95</v>
      </c>
      <c r="K87" s="9">
        <f>VLOOKUP(InputData4[[#This Row],[PRODUCT ID]],MasterData[],6,0)</f>
        <v>119.7</v>
      </c>
      <c r="L87" s="9">
        <f>InputData4[[#This Row],[QUANTITY]]*InputData4[[#This Row],[BUYING PRIZE]]</f>
        <v>1235</v>
      </c>
      <c r="M87" s="9">
        <f>InputData4[[#This Row],[QUANTITY]]*InputData4[[#This Row],[SELLING PRICE]]*(1-InputData4[[#This Row],[DISCOUNT %]])</f>
        <v>1556.1000000000001</v>
      </c>
      <c r="N87" s="7">
        <f>DAY(InputData4[[#This Row],[DATE]])</f>
        <v>12</v>
      </c>
      <c r="O87" s="7">
        <f>MONTH(InputData4[[#This Row],[DATE]])</f>
        <v>4</v>
      </c>
      <c r="P87" s="7">
        <f>YEAR(InputData4[[#This Row],[DATE]])</f>
        <v>2021</v>
      </c>
    </row>
    <row r="88" spans="1:16" x14ac:dyDescent="0.3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  <c r="G88" t="str">
        <f>VLOOKUP(InputData4[[#This Row],[PRODUCT ID]],MasterData[],2,0)</f>
        <v>Product17</v>
      </c>
      <c r="H88" t="str">
        <f>VLOOKUP(InputData4[[#This Row],[PRODUCT ID]],MasterData[],3,0)</f>
        <v>Category02</v>
      </c>
      <c r="I88" t="str">
        <f>VLOOKUP(InputData4[[#This Row],[PRODUCT ID]],MasterData[],4,0)</f>
        <v>Ft</v>
      </c>
      <c r="J88" s="9">
        <f>VLOOKUP(InputData4[[#This Row],[PRODUCT ID]],MasterData[],5,0)</f>
        <v>134</v>
      </c>
      <c r="K88" s="9">
        <f>VLOOKUP(InputData4[[#This Row],[PRODUCT ID]],MasterData[],6,0)</f>
        <v>156.78</v>
      </c>
      <c r="L88" s="9">
        <f>InputData4[[#This Row],[QUANTITY]]*InputData4[[#This Row],[BUYING PRIZE]]</f>
        <v>402</v>
      </c>
      <c r="M88" s="9">
        <f>InputData4[[#This Row],[QUANTITY]]*InputData4[[#This Row],[SELLING PRICE]]*(1-InputData4[[#This Row],[DISCOUNT %]])</f>
        <v>470.34000000000003</v>
      </c>
      <c r="N88" s="7">
        <f>DAY(InputData4[[#This Row],[DATE]])</f>
        <v>15</v>
      </c>
      <c r="O88" s="7">
        <f>MONTH(InputData4[[#This Row],[DATE]])</f>
        <v>4</v>
      </c>
      <c r="P88" s="7">
        <f>YEAR(InputData4[[#This Row],[DATE]])</f>
        <v>2021</v>
      </c>
    </row>
    <row r="89" spans="1:16" x14ac:dyDescent="0.3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  <c r="G89" t="str">
        <f>VLOOKUP(InputData4[[#This Row],[PRODUCT ID]],MasterData[],2,0)</f>
        <v>Product18</v>
      </c>
      <c r="H89" t="str">
        <f>VLOOKUP(InputData4[[#This Row],[PRODUCT ID]],MasterData[],3,0)</f>
        <v>Category02</v>
      </c>
      <c r="I89" t="str">
        <f>VLOOKUP(InputData4[[#This Row],[PRODUCT ID]],MasterData[],4,0)</f>
        <v>No.</v>
      </c>
      <c r="J89" s="9">
        <f>VLOOKUP(InputData4[[#This Row],[PRODUCT ID]],MasterData[],5,0)</f>
        <v>37</v>
      </c>
      <c r="K89" s="9">
        <f>VLOOKUP(InputData4[[#This Row],[PRODUCT ID]],MasterData[],6,0)</f>
        <v>49.21</v>
      </c>
      <c r="L89" s="9">
        <f>InputData4[[#This Row],[QUANTITY]]*InputData4[[#This Row],[BUYING PRIZE]]</f>
        <v>555</v>
      </c>
      <c r="M89" s="9">
        <f>InputData4[[#This Row],[QUANTITY]]*InputData4[[#This Row],[SELLING PRICE]]*(1-InputData4[[#This Row],[DISCOUNT %]])</f>
        <v>738.15</v>
      </c>
      <c r="N89" s="7">
        <f>DAY(InputData4[[#This Row],[DATE]])</f>
        <v>16</v>
      </c>
      <c r="O89" s="7">
        <f>MONTH(InputData4[[#This Row],[DATE]])</f>
        <v>4</v>
      </c>
      <c r="P89" s="7">
        <f>YEAR(InputData4[[#This Row],[DATE]])</f>
        <v>2021</v>
      </c>
    </row>
    <row r="90" spans="1:16" x14ac:dyDescent="0.3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  <c r="G90" t="str">
        <f>VLOOKUP(InputData4[[#This Row],[PRODUCT ID]],MasterData[],2,0)</f>
        <v>Product38</v>
      </c>
      <c r="H90" t="str">
        <f>VLOOKUP(InputData4[[#This Row],[PRODUCT ID]],MasterData[],3,0)</f>
        <v>Category05</v>
      </c>
      <c r="I90" t="str">
        <f>VLOOKUP(InputData4[[#This Row],[PRODUCT ID]],MasterData[],4,0)</f>
        <v>Kg</v>
      </c>
      <c r="J90" s="9">
        <f>VLOOKUP(InputData4[[#This Row],[PRODUCT ID]],MasterData[],5,0)</f>
        <v>72</v>
      </c>
      <c r="K90" s="9">
        <f>VLOOKUP(InputData4[[#This Row],[PRODUCT ID]],MasterData[],6,0)</f>
        <v>79.92</v>
      </c>
      <c r="L90" s="9">
        <f>InputData4[[#This Row],[QUANTITY]]*InputData4[[#This Row],[BUYING PRIZE]]</f>
        <v>648</v>
      </c>
      <c r="M90" s="9">
        <f>InputData4[[#This Row],[QUANTITY]]*InputData4[[#This Row],[SELLING PRICE]]*(1-InputData4[[#This Row],[DISCOUNT %]])</f>
        <v>719.28</v>
      </c>
      <c r="N90" s="7">
        <f>DAY(InputData4[[#This Row],[DATE]])</f>
        <v>18</v>
      </c>
      <c r="O90" s="7">
        <f>MONTH(InputData4[[#This Row],[DATE]])</f>
        <v>4</v>
      </c>
      <c r="P90" s="7">
        <f>YEAR(InputData4[[#This Row],[DATE]])</f>
        <v>2021</v>
      </c>
    </row>
    <row r="91" spans="1:16" x14ac:dyDescent="0.3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  <c r="G91" t="str">
        <f>VLOOKUP(InputData4[[#This Row],[PRODUCT ID]],MasterData[],2,0)</f>
        <v>Product19</v>
      </c>
      <c r="H91" t="str">
        <f>VLOOKUP(InputData4[[#This Row],[PRODUCT ID]],MasterData[],3,0)</f>
        <v>Category02</v>
      </c>
      <c r="I91" t="str">
        <f>VLOOKUP(InputData4[[#This Row],[PRODUCT ID]],MasterData[],4,0)</f>
        <v>Ft</v>
      </c>
      <c r="J91" s="9">
        <f>VLOOKUP(InputData4[[#This Row],[PRODUCT ID]],MasterData[],5,0)</f>
        <v>150</v>
      </c>
      <c r="K91" s="9">
        <f>VLOOKUP(InputData4[[#This Row],[PRODUCT ID]],MasterData[],6,0)</f>
        <v>210</v>
      </c>
      <c r="L91" s="9">
        <f>InputData4[[#This Row],[QUANTITY]]*InputData4[[#This Row],[BUYING PRIZE]]</f>
        <v>1950</v>
      </c>
      <c r="M91" s="9">
        <f>InputData4[[#This Row],[QUANTITY]]*InputData4[[#This Row],[SELLING PRICE]]*(1-InputData4[[#This Row],[DISCOUNT %]])</f>
        <v>2730</v>
      </c>
      <c r="N91" s="7">
        <f>DAY(InputData4[[#This Row],[DATE]])</f>
        <v>18</v>
      </c>
      <c r="O91" s="7">
        <f>MONTH(InputData4[[#This Row],[DATE]])</f>
        <v>4</v>
      </c>
      <c r="P91" s="7">
        <f>YEAR(InputData4[[#This Row],[DATE]])</f>
        <v>2021</v>
      </c>
    </row>
    <row r="92" spans="1:16" x14ac:dyDescent="0.3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  <c r="G92" t="str">
        <f>VLOOKUP(InputData4[[#This Row],[PRODUCT ID]],MasterData[],2,0)</f>
        <v>Product42</v>
      </c>
      <c r="H92" t="str">
        <f>VLOOKUP(InputData4[[#This Row],[PRODUCT ID]],MasterData[],3,0)</f>
        <v>Category05</v>
      </c>
      <c r="I92" t="str">
        <f>VLOOKUP(InputData4[[#This Row],[PRODUCT ID]],MasterData[],4,0)</f>
        <v>Ft</v>
      </c>
      <c r="J92" s="9">
        <f>VLOOKUP(InputData4[[#This Row],[PRODUCT ID]],MasterData[],5,0)</f>
        <v>120</v>
      </c>
      <c r="K92" s="9">
        <f>VLOOKUP(InputData4[[#This Row],[PRODUCT ID]],MasterData[],6,0)</f>
        <v>162</v>
      </c>
      <c r="L92" s="9">
        <f>InputData4[[#This Row],[QUANTITY]]*InputData4[[#This Row],[BUYING PRIZE]]</f>
        <v>720</v>
      </c>
      <c r="M92" s="9">
        <f>InputData4[[#This Row],[QUANTITY]]*InputData4[[#This Row],[SELLING PRICE]]*(1-InputData4[[#This Row],[DISCOUNT %]])</f>
        <v>972</v>
      </c>
      <c r="N92" s="7">
        <f>DAY(InputData4[[#This Row],[DATE]])</f>
        <v>23</v>
      </c>
      <c r="O92" s="7">
        <f>MONTH(InputData4[[#This Row],[DATE]])</f>
        <v>4</v>
      </c>
      <c r="P92" s="7">
        <f>YEAR(InputData4[[#This Row],[DATE]])</f>
        <v>2021</v>
      </c>
    </row>
    <row r="93" spans="1:16" x14ac:dyDescent="0.3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  <c r="G93" t="str">
        <f>VLOOKUP(InputData4[[#This Row],[PRODUCT ID]],MasterData[],2,0)</f>
        <v>Product28</v>
      </c>
      <c r="H93" t="str">
        <f>VLOOKUP(InputData4[[#This Row],[PRODUCT ID]],MasterData[],3,0)</f>
        <v>Category04</v>
      </c>
      <c r="I93" t="str">
        <f>VLOOKUP(InputData4[[#This Row],[PRODUCT ID]],MasterData[],4,0)</f>
        <v>No.</v>
      </c>
      <c r="J93" s="9">
        <f>VLOOKUP(InputData4[[#This Row],[PRODUCT ID]],MasterData[],5,0)</f>
        <v>37</v>
      </c>
      <c r="K93" s="9">
        <f>VLOOKUP(InputData4[[#This Row],[PRODUCT ID]],MasterData[],6,0)</f>
        <v>41.81</v>
      </c>
      <c r="L93" s="9">
        <f>InputData4[[#This Row],[QUANTITY]]*InputData4[[#This Row],[BUYING PRIZE]]</f>
        <v>370</v>
      </c>
      <c r="M93" s="9">
        <f>InputData4[[#This Row],[QUANTITY]]*InputData4[[#This Row],[SELLING PRICE]]*(1-InputData4[[#This Row],[DISCOUNT %]])</f>
        <v>418.1</v>
      </c>
      <c r="N93" s="7">
        <f>DAY(InputData4[[#This Row],[DATE]])</f>
        <v>23</v>
      </c>
      <c r="O93" s="7">
        <f>MONTH(InputData4[[#This Row],[DATE]])</f>
        <v>4</v>
      </c>
      <c r="P93" s="7">
        <f>YEAR(InputData4[[#This Row],[DATE]])</f>
        <v>2021</v>
      </c>
    </row>
    <row r="94" spans="1:16" x14ac:dyDescent="0.3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  <c r="G94" t="str">
        <f>VLOOKUP(InputData4[[#This Row],[PRODUCT ID]],MasterData[],2,0)</f>
        <v>Product30</v>
      </c>
      <c r="H94" t="str">
        <f>VLOOKUP(InputData4[[#This Row],[PRODUCT ID]],MasterData[],3,0)</f>
        <v>Category04</v>
      </c>
      <c r="I94" t="str">
        <f>VLOOKUP(InputData4[[#This Row],[PRODUCT ID]],MasterData[],4,0)</f>
        <v>Ft</v>
      </c>
      <c r="J94" s="9">
        <f>VLOOKUP(InputData4[[#This Row],[PRODUCT ID]],MasterData[],5,0)</f>
        <v>148</v>
      </c>
      <c r="K94" s="9">
        <f>VLOOKUP(InputData4[[#This Row],[PRODUCT ID]],MasterData[],6,0)</f>
        <v>201.28</v>
      </c>
      <c r="L94" s="9">
        <f>InputData4[[#This Row],[QUANTITY]]*InputData4[[#This Row],[BUYING PRIZE]]</f>
        <v>296</v>
      </c>
      <c r="M94" s="9">
        <f>InputData4[[#This Row],[QUANTITY]]*InputData4[[#This Row],[SELLING PRICE]]*(1-InputData4[[#This Row],[DISCOUNT %]])</f>
        <v>402.56</v>
      </c>
      <c r="N94" s="7">
        <f>DAY(InputData4[[#This Row],[DATE]])</f>
        <v>24</v>
      </c>
      <c r="O94" s="7">
        <f>MONTH(InputData4[[#This Row],[DATE]])</f>
        <v>4</v>
      </c>
      <c r="P94" s="7">
        <f>YEAR(InputData4[[#This Row],[DATE]])</f>
        <v>2021</v>
      </c>
    </row>
    <row r="95" spans="1:16" x14ac:dyDescent="0.3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  <c r="G95" t="str">
        <f>VLOOKUP(InputData4[[#This Row],[PRODUCT ID]],MasterData[],2,0)</f>
        <v>Product37</v>
      </c>
      <c r="H95" t="str">
        <f>VLOOKUP(InputData4[[#This Row],[PRODUCT ID]],MasterData[],3,0)</f>
        <v>Category05</v>
      </c>
      <c r="I95" t="str">
        <f>VLOOKUP(InputData4[[#This Row],[PRODUCT ID]],MasterData[],4,0)</f>
        <v>Kg</v>
      </c>
      <c r="J95" s="9">
        <f>VLOOKUP(InputData4[[#This Row],[PRODUCT ID]],MasterData[],5,0)</f>
        <v>67</v>
      </c>
      <c r="K95" s="9">
        <f>VLOOKUP(InputData4[[#This Row],[PRODUCT ID]],MasterData[],6,0)</f>
        <v>85.76</v>
      </c>
      <c r="L95" s="9">
        <f>InputData4[[#This Row],[QUANTITY]]*InputData4[[#This Row],[BUYING PRIZE]]</f>
        <v>201</v>
      </c>
      <c r="M95" s="9">
        <f>InputData4[[#This Row],[QUANTITY]]*InputData4[[#This Row],[SELLING PRICE]]*(1-InputData4[[#This Row],[DISCOUNT %]])</f>
        <v>257.28000000000003</v>
      </c>
      <c r="N95" s="7">
        <f>DAY(InputData4[[#This Row],[DATE]])</f>
        <v>26</v>
      </c>
      <c r="O95" s="7">
        <f>MONTH(InputData4[[#This Row],[DATE]])</f>
        <v>4</v>
      </c>
      <c r="P95" s="7">
        <f>YEAR(InputData4[[#This Row],[DATE]])</f>
        <v>2021</v>
      </c>
    </row>
    <row r="96" spans="1:16" x14ac:dyDescent="0.3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  <c r="G96" t="str">
        <f>VLOOKUP(InputData4[[#This Row],[PRODUCT ID]],MasterData[],2,0)</f>
        <v>Product30</v>
      </c>
      <c r="H96" t="str">
        <f>VLOOKUP(InputData4[[#This Row],[PRODUCT ID]],MasterData[],3,0)</f>
        <v>Category04</v>
      </c>
      <c r="I96" t="str">
        <f>VLOOKUP(InputData4[[#This Row],[PRODUCT ID]],MasterData[],4,0)</f>
        <v>Ft</v>
      </c>
      <c r="J96" s="9">
        <f>VLOOKUP(InputData4[[#This Row],[PRODUCT ID]],MasterData[],5,0)</f>
        <v>148</v>
      </c>
      <c r="K96" s="9">
        <f>VLOOKUP(InputData4[[#This Row],[PRODUCT ID]],MasterData[],6,0)</f>
        <v>201.28</v>
      </c>
      <c r="L96" s="9">
        <f>InputData4[[#This Row],[QUANTITY]]*InputData4[[#This Row],[BUYING PRIZE]]</f>
        <v>1036</v>
      </c>
      <c r="M96" s="9">
        <f>InputData4[[#This Row],[QUANTITY]]*InputData4[[#This Row],[SELLING PRICE]]*(1-InputData4[[#This Row],[DISCOUNT %]])</f>
        <v>1408.96</v>
      </c>
      <c r="N96" s="7">
        <f>DAY(InputData4[[#This Row],[DATE]])</f>
        <v>29</v>
      </c>
      <c r="O96" s="7">
        <f>MONTH(InputData4[[#This Row],[DATE]])</f>
        <v>4</v>
      </c>
      <c r="P96" s="7">
        <f>YEAR(InputData4[[#This Row],[DATE]])</f>
        <v>2021</v>
      </c>
    </row>
    <row r="97" spans="1:16" x14ac:dyDescent="0.3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  <c r="G97" t="str">
        <f>VLOOKUP(InputData4[[#This Row],[PRODUCT ID]],MasterData[],2,0)</f>
        <v>Product29</v>
      </c>
      <c r="H97" t="str">
        <f>VLOOKUP(InputData4[[#This Row],[PRODUCT ID]],MasterData[],3,0)</f>
        <v>Category04</v>
      </c>
      <c r="I97" t="str">
        <f>VLOOKUP(InputData4[[#This Row],[PRODUCT ID]],MasterData[],4,0)</f>
        <v>Lt</v>
      </c>
      <c r="J97" s="9">
        <f>VLOOKUP(InputData4[[#This Row],[PRODUCT ID]],MasterData[],5,0)</f>
        <v>47</v>
      </c>
      <c r="K97" s="9">
        <f>VLOOKUP(InputData4[[#This Row],[PRODUCT ID]],MasterData[],6,0)</f>
        <v>53.11</v>
      </c>
      <c r="L97" s="9">
        <f>InputData4[[#This Row],[QUANTITY]]*InputData4[[#This Row],[BUYING PRIZE]]</f>
        <v>47</v>
      </c>
      <c r="M97" s="9">
        <f>InputData4[[#This Row],[QUANTITY]]*InputData4[[#This Row],[SELLING PRICE]]*(1-InputData4[[#This Row],[DISCOUNT %]])</f>
        <v>53.11</v>
      </c>
      <c r="N97" s="7">
        <f>DAY(InputData4[[#This Row],[DATE]])</f>
        <v>30</v>
      </c>
      <c r="O97" s="7">
        <f>MONTH(InputData4[[#This Row],[DATE]])</f>
        <v>4</v>
      </c>
      <c r="P97" s="7">
        <f>YEAR(InputData4[[#This Row],[DATE]])</f>
        <v>2021</v>
      </c>
    </row>
    <row r="98" spans="1:16" x14ac:dyDescent="0.3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  <c r="G98" t="str">
        <f>VLOOKUP(InputData4[[#This Row],[PRODUCT ID]],MasterData[],2,0)</f>
        <v>Product18</v>
      </c>
      <c r="H98" t="str">
        <f>VLOOKUP(InputData4[[#This Row],[PRODUCT ID]],MasterData[],3,0)</f>
        <v>Category02</v>
      </c>
      <c r="I98" t="str">
        <f>VLOOKUP(InputData4[[#This Row],[PRODUCT ID]],MasterData[],4,0)</f>
        <v>No.</v>
      </c>
      <c r="J98" s="9">
        <f>VLOOKUP(InputData4[[#This Row],[PRODUCT ID]],MasterData[],5,0)</f>
        <v>37</v>
      </c>
      <c r="K98" s="9">
        <f>VLOOKUP(InputData4[[#This Row],[PRODUCT ID]],MasterData[],6,0)</f>
        <v>49.21</v>
      </c>
      <c r="L98" s="9">
        <f>InputData4[[#This Row],[QUANTITY]]*InputData4[[#This Row],[BUYING PRIZE]]</f>
        <v>111</v>
      </c>
      <c r="M98" s="9">
        <f>InputData4[[#This Row],[QUANTITY]]*InputData4[[#This Row],[SELLING PRICE]]*(1-InputData4[[#This Row],[DISCOUNT %]])</f>
        <v>147.63</v>
      </c>
      <c r="N98" s="7">
        <f>DAY(InputData4[[#This Row],[DATE]])</f>
        <v>1</v>
      </c>
      <c r="O98" s="7">
        <f>MONTH(InputData4[[#This Row],[DATE]])</f>
        <v>5</v>
      </c>
      <c r="P98" s="7">
        <f>YEAR(InputData4[[#This Row],[DATE]])</f>
        <v>2021</v>
      </c>
    </row>
    <row r="99" spans="1:16" x14ac:dyDescent="0.3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  <c r="G99" t="str">
        <f>VLOOKUP(InputData4[[#This Row],[PRODUCT ID]],MasterData[],2,0)</f>
        <v>Product42</v>
      </c>
      <c r="H99" t="str">
        <f>VLOOKUP(InputData4[[#This Row],[PRODUCT ID]],MasterData[],3,0)</f>
        <v>Category05</v>
      </c>
      <c r="I99" t="str">
        <f>VLOOKUP(InputData4[[#This Row],[PRODUCT ID]],MasterData[],4,0)</f>
        <v>Ft</v>
      </c>
      <c r="J99" s="9">
        <f>VLOOKUP(InputData4[[#This Row],[PRODUCT ID]],MasterData[],5,0)</f>
        <v>120</v>
      </c>
      <c r="K99" s="9">
        <f>VLOOKUP(InputData4[[#This Row],[PRODUCT ID]],MasterData[],6,0)</f>
        <v>162</v>
      </c>
      <c r="L99" s="9">
        <f>InputData4[[#This Row],[QUANTITY]]*InputData4[[#This Row],[BUYING PRIZE]]</f>
        <v>120</v>
      </c>
      <c r="M99" s="9">
        <f>InputData4[[#This Row],[QUANTITY]]*InputData4[[#This Row],[SELLING PRICE]]*(1-InputData4[[#This Row],[DISCOUNT %]])</f>
        <v>162</v>
      </c>
      <c r="N99" s="7">
        <f>DAY(InputData4[[#This Row],[DATE]])</f>
        <v>1</v>
      </c>
      <c r="O99" s="7">
        <f>MONTH(InputData4[[#This Row],[DATE]])</f>
        <v>5</v>
      </c>
      <c r="P99" s="7">
        <f>YEAR(InputData4[[#This Row],[DATE]])</f>
        <v>2021</v>
      </c>
    </row>
    <row r="100" spans="1:16" x14ac:dyDescent="0.3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  <c r="G100" t="str">
        <f>VLOOKUP(InputData4[[#This Row],[PRODUCT ID]],MasterData[],2,0)</f>
        <v>Product34</v>
      </c>
      <c r="H100" t="str">
        <f>VLOOKUP(InputData4[[#This Row],[PRODUCT ID]],MasterData[],3,0)</f>
        <v>Category04</v>
      </c>
      <c r="I100" t="str">
        <f>VLOOKUP(InputData4[[#This Row],[PRODUCT ID]],MasterData[],4,0)</f>
        <v>Lt</v>
      </c>
      <c r="J100" s="9">
        <f>VLOOKUP(InputData4[[#This Row],[PRODUCT ID]],MasterData[],5,0)</f>
        <v>55</v>
      </c>
      <c r="K100" s="9">
        <f>VLOOKUP(InputData4[[#This Row],[PRODUCT ID]],MasterData[],6,0)</f>
        <v>58.3</v>
      </c>
      <c r="L100" s="9">
        <f>InputData4[[#This Row],[QUANTITY]]*InputData4[[#This Row],[BUYING PRIZE]]</f>
        <v>165</v>
      </c>
      <c r="M100" s="9">
        <f>InputData4[[#This Row],[QUANTITY]]*InputData4[[#This Row],[SELLING PRICE]]*(1-InputData4[[#This Row],[DISCOUNT %]])</f>
        <v>174.89999999999998</v>
      </c>
      <c r="N100" s="7">
        <f>DAY(InputData4[[#This Row],[DATE]])</f>
        <v>3</v>
      </c>
      <c r="O100" s="7">
        <f>MONTH(InputData4[[#This Row],[DATE]])</f>
        <v>5</v>
      </c>
      <c r="P100" s="7">
        <f>YEAR(InputData4[[#This Row],[DATE]])</f>
        <v>2021</v>
      </c>
    </row>
    <row r="101" spans="1:16" x14ac:dyDescent="0.3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  <c r="G101" t="str">
        <f>VLOOKUP(InputData4[[#This Row],[PRODUCT ID]],MasterData[],2,0)</f>
        <v>Product15</v>
      </c>
      <c r="H101" t="str">
        <f>VLOOKUP(InputData4[[#This Row],[PRODUCT ID]],MasterData[],3,0)</f>
        <v>Category02</v>
      </c>
      <c r="I101" t="str">
        <f>VLOOKUP(InputData4[[#This Row],[PRODUCT ID]],MasterData[],4,0)</f>
        <v>No.</v>
      </c>
      <c r="J101" s="9">
        <f>VLOOKUP(InputData4[[#This Row],[PRODUCT ID]],MasterData[],5,0)</f>
        <v>12</v>
      </c>
      <c r="K101" s="9">
        <f>VLOOKUP(InputData4[[#This Row],[PRODUCT ID]],MasterData[],6,0)</f>
        <v>15.719999999999999</v>
      </c>
      <c r="L101" s="9">
        <f>InputData4[[#This Row],[QUANTITY]]*InputData4[[#This Row],[BUYING PRIZE]]</f>
        <v>156</v>
      </c>
      <c r="M101" s="9">
        <f>InputData4[[#This Row],[QUANTITY]]*InputData4[[#This Row],[SELLING PRICE]]*(1-InputData4[[#This Row],[DISCOUNT %]])</f>
        <v>204.35999999999999</v>
      </c>
      <c r="N101" s="7">
        <f>DAY(InputData4[[#This Row],[DATE]])</f>
        <v>4</v>
      </c>
      <c r="O101" s="7">
        <f>MONTH(InputData4[[#This Row],[DATE]])</f>
        <v>5</v>
      </c>
      <c r="P101" s="7">
        <f>YEAR(InputData4[[#This Row],[DATE]])</f>
        <v>2021</v>
      </c>
    </row>
    <row r="102" spans="1:16" x14ac:dyDescent="0.3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  <c r="G102" t="str">
        <f>VLOOKUP(InputData4[[#This Row],[PRODUCT ID]],MasterData[],2,0)</f>
        <v>Product14</v>
      </c>
      <c r="H102" t="str">
        <f>VLOOKUP(InputData4[[#This Row],[PRODUCT ID]],MasterData[],3,0)</f>
        <v>Category02</v>
      </c>
      <c r="I102" t="str">
        <f>VLOOKUP(InputData4[[#This Row],[PRODUCT ID]],MasterData[],4,0)</f>
        <v>Kg</v>
      </c>
      <c r="J102" s="9">
        <f>VLOOKUP(InputData4[[#This Row],[PRODUCT ID]],MasterData[],5,0)</f>
        <v>112</v>
      </c>
      <c r="K102" s="9">
        <f>VLOOKUP(InputData4[[#This Row],[PRODUCT ID]],MasterData[],6,0)</f>
        <v>146.72</v>
      </c>
      <c r="L102" s="9">
        <f>InputData4[[#This Row],[QUANTITY]]*InputData4[[#This Row],[BUYING PRIZE]]</f>
        <v>448</v>
      </c>
      <c r="M102" s="9">
        <f>InputData4[[#This Row],[QUANTITY]]*InputData4[[#This Row],[SELLING PRICE]]*(1-InputData4[[#This Row],[DISCOUNT %]])</f>
        <v>586.88</v>
      </c>
      <c r="N102" s="7">
        <f>DAY(InputData4[[#This Row],[DATE]])</f>
        <v>4</v>
      </c>
      <c r="O102" s="7">
        <f>MONTH(InputData4[[#This Row],[DATE]])</f>
        <v>5</v>
      </c>
      <c r="P102" s="7">
        <f>YEAR(InputData4[[#This Row],[DATE]])</f>
        <v>2021</v>
      </c>
    </row>
    <row r="103" spans="1:16" x14ac:dyDescent="0.3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  <c r="G103" t="str">
        <f>VLOOKUP(InputData4[[#This Row],[PRODUCT ID]],MasterData[],2,0)</f>
        <v>Product09</v>
      </c>
      <c r="H103" t="str">
        <f>VLOOKUP(InputData4[[#This Row],[PRODUCT ID]],MasterData[],3,0)</f>
        <v>Category01</v>
      </c>
      <c r="I103" t="str">
        <f>VLOOKUP(InputData4[[#This Row],[PRODUCT ID]],MasterData[],4,0)</f>
        <v>No.</v>
      </c>
      <c r="J103" s="9">
        <f>VLOOKUP(InputData4[[#This Row],[PRODUCT ID]],MasterData[],5,0)</f>
        <v>6</v>
      </c>
      <c r="K103" s="9">
        <f>VLOOKUP(InputData4[[#This Row],[PRODUCT ID]],MasterData[],6,0)</f>
        <v>7.8599999999999994</v>
      </c>
      <c r="L103" s="9">
        <f>InputData4[[#This Row],[QUANTITY]]*InputData4[[#This Row],[BUYING PRIZE]]</f>
        <v>78</v>
      </c>
      <c r="M103" s="9">
        <f>InputData4[[#This Row],[QUANTITY]]*InputData4[[#This Row],[SELLING PRICE]]*(1-InputData4[[#This Row],[DISCOUNT %]])</f>
        <v>102.17999999999999</v>
      </c>
      <c r="N103" s="7">
        <f>DAY(InputData4[[#This Row],[DATE]])</f>
        <v>5</v>
      </c>
      <c r="O103" s="7">
        <f>MONTH(InputData4[[#This Row],[DATE]])</f>
        <v>5</v>
      </c>
      <c r="P103" s="7">
        <f>YEAR(InputData4[[#This Row],[DATE]])</f>
        <v>2021</v>
      </c>
    </row>
    <row r="104" spans="1:16" x14ac:dyDescent="0.3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  <c r="G104" t="str">
        <f>VLOOKUP(InputData4[[#This Row],[PRODUCT ID]],MasterData[],2,0)</f>
        <v>Product08</v>
      </c>
      <c r="H104" t="str">
        <f>VLOOKUP(InputData4[[#This Row],[PRODUCT ID]],MasterData[],3,0)</f>
        <v>Category01</v>
      </c>
      <c r="I104" t="str">
        <f>VLOOKUP(InputData4[[#This Row],[PRODUCT ID]],MasterData[],4,0)</f>
        <v>Kg</v>
      </c>
      <c r="J104" s="9">
        <f>VLOOKUP(InputData4[[#This Row],[PRODUCT ID]],MasterData[],5,0)</f>
        <v>83</v>
      </c>
      <c r="K104" s="9">
        <f>VLOOKUP(InputData4[[#This Row],[PRODUCT ID]],MasterData[],6,0)</f>
        <v>94.62</v>
      </c>
      <c r="L104" s="9">
        <f>InputData4[[#This Row],[QUANTITY]]*InputData4[[#This Row],[BUYING PRIZE]]</f>
        <v>1245</v>
      </c>
      <c r="M104" s="9">
        <f>InputData4[[#This Row],[QUANTITY]]*InputData4[[#This Row],[SELLING PRICE]]*(1-InputData4[[#This Row],[DISCOUNT %]])</f>
        <v>1419.3000000000002</v>
      </c>
      <c r="N104" s="7">
        <f>DAY(InputData4[[#This Row],[DATE]])</f>
        <v>6</v>
      </c>
      <c r="O104" s="7">
        <f>MONTH(InputData4[[#This Row],[DATE]])</f>
        <v>5</v>
      </c>
      <c r="P104" s="7">
        <f>YEAR(InputData4[[#This Row],[DATE]])</f>
        <v>2021</v>
      </c>
    </row>
    <row r="105" spans="1:16" x14ac:dyDescent="0.3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  <c r="G105" t="str">
        <f>VLOOKUP(InputData4[[#This Row],[PRODUCT ID]],MasterData[],2,0)</f>
        <v>Product09</v>
      </c>
      <c r="H105" t="str">
        <f>VLOOKUP(InputData4[[#This Row],[PRODUCT ID]],MasterData[],3,0)</f>
        <v>Category01</v>
      </c>
      <c r="I105" t="str">
        <f>VLOOKUP(InputData4[[#This Row],[PRODUCT ID]],MasterData[],4,0)</f>
        <v>No.</v>
      </c>
      <c r="J105" s="9">
        <f>VLOOKUP(InputData4[[#This Row],[PRODUCT ID]],MasterData[],5,0)</f>
        <v>6</v>
      </c>
      <c r="K105" s="9">
        <f>VLOOKUP(InputData4[[#This Row],[PRODUCT ID]],MasterData[],6,0)</f>
        <v>7.8599999999999994</v>
      </c>
      <c r="L105" s="9">
        <f>InputData4[[#This Row],[QUANTITY]]*InputData4[[#This Row],[BUYING PRIZE]]</f>
        <v>36</v>
      </c>
      <c r="M105" s="9">
        <f>InputData4[[#This Row],[QUANTITY]]*InputData4[[#This Row],[SELLING PRICE]]*(1-InputData4[[#This Row],[DISCOUNT %]])</f>
        <v>47.16</v>
      </c>
      <c r="N105" s="7">
        <f>DAY(InputData4[[#This Row],[DATE]])</f>
        <v>6</v>
      </c>
      <c r="O105" s="7">
        <f>MONTH(InputData4[[#This Row],[DATE]])</f>
        <v>5</v>
      </c>
      <c r="P105" s="7">
        <f>YEAR(InputData4[[#This Row],[DATE]])</f>
        <v>2021</v>
      </c>
    </row>
    <row r="106" spans="1:16" x14ac:dyDescent="0.3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  <c r="G106" t="str">
        <f>VLOOKUP(InputData4[[#This Row],[PRODUCT ID]],MasterData[],2,0)</f>
        <v>Product18</v>
      </c>
      <c r="H106" t="str">
        <f>VLOOKUP(InputData4[[#This Row],[PRODUCT ID]],MasterData[],3,0)</f>
        <v>Category02</v>
      </c>
      <c r="I106" t="str">
        <f>VLOOKUP(InputData4[[#This Row],[PRODUCT ID]],MasterData[],4,0)</f>
        <v>No.</v>
      </c>
      <c r="J106" s="9">
        <f>VLOOKUP(InputData4[[#This Row],[PRODUCT ID]],MasterData[],5,0)</f>
        <v>37</v>
      </c>
      <c r="K106" s="9">
        <f>VLOOKUP(InputData4[[#This Row],[PRODUCT ID]],MasterData[],6,0)</f>
        <v>49.21</v>
      </c>
      <c r="L106" s="9">
        <f>InputData4[[#This Row],[QUANTITY]]*InputData4[[#This Row],[BUYING PRIZE]]</f>
        <v>37</v>
      </c>
      <c r="M106" s="9">
        <f>InputData4[[#This Row],[QUANTITY]]*InputData4[[#This Row],[SELLING PRICE]]*(1-InputData4[[#This Row],[DISCOUNT %]])</f>
        <v>49.21</v>
      </c>
      <c r="N106" s="7">
        <f>DAY(InputData4[[#This Row],[DATE]])</f>
        <v>7</v>
      </c>
      <c r="O106" s="7">
        <f>MONTH(InputData4[[#This Row],[DATE]])</f>
        <v>5</v>
      </c>
      <c r="P106" s="7">
        <f>YEAR(InputData4[[#This Row],[DATE]])</f>
        <v>2021</v>
      </c>
    </row>
    <row r="107" spans="1:16" x14ac:dyDescent="0.3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  <c r="G107" t="str">
        <f>VLOOKUP(InputData4[[#This Row],[PRODUCT ID]],MasterData[],2,0)</f>
        <v>Product16</v>
      </c>
      <c r="H107" t="str">
        <f>VLOOKUP(InputData4[[#This Row],[PRODUCT ID]],MasterData[],3,0)</f>
        <v>Category02</v>
      </c>
      <c r="I107" t="str">
        <f>VLOOKUP(InputData4[[#This Row],[PRODUCT ID]],MasterData[],4,0)</f>
        <v>No.</v>
      </c>
      <c r="J107" s="9">
        <f>VLOOKUP(InputData4[[#This Row],[PRODUCT ID]],MasterData[],5,0)</f>
        <v>13</v>
      </c>
      <c r="K107" s="9">
        <f>VLOOKUP(InputData4[[#This Row],[PRODUCT ID]],MasterData[],6,0)</f>
        <v>16.64</v>
      </c>
      <c r="L107" s="9">
        <f>InputData4[[#This Row],[QUANTITY]]*InputData4[[#This Row],[BUYING PRIZE]]</f>
        <v>78</v>
      </c>
      <c r="M107" s="9">
        <f>InputData4[[#This Row],[QUANTITY]]*InputData4[[#This Row],[SELLING PRICE]]*(1-InputData4[[#This Row],[DISCOUNT %]])</f>
        <v>99.84</v>
      </c>
      <c r="N107" s="7">
        <f>DAY(InputData4[[#This Row],[DATE]])</f>
        <v>9</v>
      </c>
      <c r="O107" s="7">
        <f>MONTH(InputData4[[#This Row],[DATE]])</f>
        <v>5</v>
      </c>
      <c r="P107" s="7">
        <f>YEAR(InputData4[[#This Row],[DATE]])</f>
        <v>2021</v>
      </c>
    </row>
    <row r="108" spans="1:16" x14ac:dyDescent="0.3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  <c r="G108" t="str">
        <f>VLOOKUP(InputData4[[#This Row],[PRODUCT ID]],MasterData[],2,0)</f>
        <v>Product28</v>
      </c>
      <c r="H108" t="str">
        <f>VLOOKUP(InputData4[[#This Row],[PRODUCT ID]],MasterData[],3,0)</f>
        <v>Category04</v>
      </c>
      <c r="I108" t="str">
        <f>VLOOKUP(InputData4[[#This Row],[PRODUCT ID]],MasterData[],4,0)</f>
        <v>No.</v>
      </c>
      <c r="J108" s="9">
        <f>VLOOKUP(InputData4[[#This Row],[PRODUCT ID]],MasterData[],5,0)</f>
        <v>37</v>
      </c>
      <c r="K108" s="9">
        <f>VLOOKUP(InputData4[[#This Row],[PRODUCT ID]],MasterData[],6,0)</f>
        <v>41.81</v>
      </c>
      <c r="L108" s="9">
        <f>InputData4[[#This Row],[QUANTITY]]*InputData4[[#This Row],[BUYING PRIZE]]</f>
        <v>296</v>
      </c>
      <c r="M108" s="9">
        <f>InputData4[[#This Row],[QUANTITY]]*InputData4[[#This Row],[SELLING PRICE]]*(1-InputData4[[#This Row],[DISCOUNT %]])</f>
        <v>334.48</v>
      </c>
      <c r="N108" s="7">
        <f>DAY(InputData4[[#This Row],[DATE]])</f>
        <v>9</v>
      </c>
      <c r="O108" s="7">
        <f>MONTH(InputData4[[#This Row],[DATE]])</f>
        <v>5</v>
      </c>
      <c r="P108" s="7">
        <f>YEAR(InputData4[[#This Row],[DATE]])</f>
        <v>2021</v>
      </c>
    </row>
    <row r="109" spans="1:16" x14ac:dyDescent="0.3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  <c r="G109" t="str">
        <f>VLOOKUP(InputData4[[#This Row],[PRODUCT ID]],MasterData[],2,0)</f>
        <v>Product16</v>
      </c>
      <c r="H109" t="str">
        <f>VLOOKUP(InputData4[[#This Row],[PRODUCT ID]],MasterData[],3,0)</f>
        <v>Category02</v>
      </c>
      <c r="I109" t="str">
        <f>VLOOKUP(InputData4[[#This Row],[PRODUCT ID]],MasterData[],4,0)</f>
        <v>No.</v>
      </c>
      <c r="J109" s="9">
        <f>VLOOKUP(InputData4[[#This Row],[PRODUCT ID]],MasterData[],5,0)</f>
        <v>13</v>
      </c>
      <c r="K109" s="9">
        <f>VLOOKUP(InputData4[[#This Row],[PRODUCT ID]],MasterData[],6,0)</f>
        <v>16.64</v>
      </c>
      <c r="L109" s="9">
        <f>InputData4[[#This Row],[QUANTITY]]*InputData4[[#This Row],[BUYING PRIZE]]</f>
        <v>39</v>
      </c>
      <c r="M109" s="9">
        <f>InputData4[[#This Row],[QUANTITY]]*InputData4[[#This Row],[SELLING PRICE]]*(1-InputData4[[#This Row],[DISCOUNT %]])</f>
        <v>49.92</v>
      </c>
      <c r="N109" s="7">
        <f>DAY(InputData4[[#This Row],[DATE]])</f>
        <v>12</v>
      </c>
      <c r="O109" s="7">
        <f>MONTH(InputData4[[#This Row],[DATE]])</f>
        <v>5</v>
      </c>
      <c r="P109" s="7">
        <f>YEAR(InputData4[[#This Row],[DATE]])</f>
        <v>2021</v>
      </c>
    </row>
    <row r="110" spans="1:16" x14ac:dyDescent="0.3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  <c r="G110" t="str">
        <f>VLOOKUP(InputData4[[#This Row],[PRODUCT ID]],MasterData[],2,0)</f>
        <v>Product35</v>
      </c>
      <c r="H110" t="str">
        <f>VLOOKUP(InputData4[[#This Row],[PRODUCT ID]],MasterData[],3,0)</f>
        <v>Category04</v>
      </c>
      <c r="I110" t="str">
        <f>VLOOKUP(InputData4[[#This Row],[PRODUCT ID]],MasterData[],4,0)</f>
        <v>No.</v>
      </c>
      <c r="J110" s="9">
        <f>VLOOKUP(InputData4[[#This Row],[PRODUCT ID]],MasterData[],5,0)</f>
        <v>5</v>
      </c>
      <c r="K110" s="9">
        <f>VLOOKUP(InputData4[[#This Row],[PRODUCT ID]],MasterData[],6,0)</f>
        <v>6.7</v>
      </c>
      <c r="L110" s="9">
        <f>InputData4[[#This Row],[QUANTITY]]*InputData4[[#This Row],[BUYING PRIZE]]</f>
        <v>75</v>
      </c>
      <c r="M110" s="9">
        <f>InputData4[[#This Row],[QUANTITY]]*InputData4[[#This Row],[SELLING PRICE]]*(1-InputData4[[#This Row],[DISCOUNT %]])</f>
        <v>100.5</v>
      </c>
      <c r="N110" s="7">
        <f>DAY(InputData4[[#This Row],[DATE]])</f>
        <v>12</v>
      </c>
      <c r="O110" s="7">
        <f>MONTH(InputData4[[#This Row],[DATE]])</f>
        <v>5</v>
      </c>
      <c r="P110" s="7">
        <f>YEAR(InputData4[[#This Row],[DATE]])</f>
        <v>2021</v>
      </c>
    </row>
    <row r="111" spans="1:16" x14ac:dyDescent="0.3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  <c r="G111" t="str">
        <f>VLOOKUP(InputData4[[#This Row],[PRODUCT ID]],MasterData[],2,0)</f>
        <v>Product29</v>
      </c>
      <c r="H111" t="str">
        <f>VLOOKUP(InputData4[[#This Row],[PRODUCT ID]],MasterData[],3,0)</f>
        <v>Category04</v>
      </c>
      <c r="I111" t="str">
        <f>VLOOKUP(InputData4[[#This Row],[PRODUCT ID]],MasterData[],4,0)</f>
        <v>Lt</v>
      </c>
      <c r="J111" s="9">
        <f>VLOOKUP(InputData4[[#This Row],[PRODUCT ID]],MasterData[],5,0)</f>
        <v>47</v>
      </c>
      <c r="K111" s="9">
        <f>VLOOKUP(InputData4[[#This Row],[PRODUCT ID]],MasterData[],6,0)</f>
        <v>53.11</v>
      </c>
      <c r="L111" s="9">
        <f>InputData4[[#This Row],[QUANTITY]]*InputData4[[#This Row],[BUYING PRIZE]]</f>
        <v>188</v>
      </c>
      <c r="M111" s="9">
        <f>InputData4[[#This Row],[QUANTITY]]*InputData4[[#This Row],[SELLING PRICE]]*(1-InputData4[[#This Row],[DISCOUNT %]])</f>
        <v>212.44</v>
      </c>
      <c r="N111" s="7">
        <f>DAY(InputData4[[#This Row],[DATE]])</f>
        <v>13</v>
      </c>
      <c r="O111" s="7">
        <f>MONTH(InputData4[[#This Row],[DATE]])</f>
        <v>5</v>
      </c>
      <c r="P111" s="7">
        <f>YEAR(InputData4[[#This Row],[DATE]])</f>
        <v>2021</v>
      </c>
    </row>
    <row r="112" spans="1:16" x14ac:dyDescent="0.3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  <c r="G112" t="str">
        <f>VLOOKUP(InputData4[[#This Row],[PRODUCT ID]],MasterData[],2,0)</f>
        <v>Product42</v>
      </c>
      <c r="H112" t="str">
        <f>VLOOKUP(InputData4[[#This Row],[PRODUCT ID]],MasterData[],3,0)</f>
        <v>Category05</v>
      </c>
      <c r="I112" t="str">
        <f>VLOOKUP(InputData4[[#This Row],[PRODUCT ID]],MasterData[],4,0)</f>
        <v>Ft</v>
      </c>
      <c r="J112" s="9">
        <f>VLOOKUP(InputData4[[#This Row],[PRODUCT ID]],MasterData[],5,0)</f>
        <v>120</v>
      </c>
      <c r="K112" s="9">
        <f>VLOOKUP(InputData4[[#This Row],[PRODUCT ID]],MasterData[],6,0)</f>
        <v>162</v>
      </c>
      <c r="L112" s="9">
        <f>InputData4[[#This Row],[QUANTITY]]*InputData4[[#This Row],[BUYING PRIZE]]</f>
        <v>240</v>
      </c>
      <c r="M112" s="9">
        <f>InputData4[[#This Row],[QUANTITY]]*InputData4[[#This Row],[SELLING PRICE]]*(1-InputData4[[#This Row],[DISCOUNT %]])</f>
        <v>324</v>
      </c>
      <c r="N112" s="7">
        <f>DAY(InputData4[[#This Row],[DATE]])</f>
        <v>20</v>
      </c>
      <c r="O112" s="7">
        <f>MONTH(InputData4[[#This Row],[DATE]])</f>
        <v>5</v>
      </c>
      <c r="P112" s="7">
        <f>YEAR(InputData4[[#This Row],[DATE]])</f>
        <v>2021</v>
      </c>
    </row>
    <row r="113" spans="1:16" x14ac:dyDescent="0.3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  <c r="G113" t="str">
        <f>VLOOKUP(InputData4[[#This Row],[PRODUCT ID]],MasterData[],2,0)</f>
        <v>Product40</v>
      </c>
      <c r="H113" t="str">
        <f>VLOOKUP(InputData4[[#This Row],[PRODUCT ID]],MasterData[],3,0)</f>
        <v>Category05</v>
      </c>
      <c r="I113" t="str">
        <f>VLOOKUP(InputData4[[#This Row],[PRODUCT ID]],MasterData[],4,0)</f>
        <v>Kg</v>
      </c>
      <c r="J113" s="9">
        <f>VLOOKUP(InputData4[[#This Row],[PRODUCT ID]],MasterData[],5,0)</f>
        <v>90</v>
      </c>
      <c r="K113" s="9">
        <f>VLOOKUP(InputData4[[#This Row],[PRODUCT ID]],MasterData[],6,0)</f>
        <v>115.2</v>
      </c>
      <c r="L113" s="9">
        <f>InputData4[[#This Row],[QUANTITY]]*InputData4[[#This Row],[BUYING PRIZE]]</f>
        <v>990</v>
      </c>
      <c r="M113" s="9">
        <f>InputData4[[#This Row],[QUANTITY]]*InputData4[[#This Row],[SELLING PRICE]]*(1-InputData4[[#This Row],[DISCOUNT %]])</f>
        <v>1267.2</v>
      </c>
      <c r="N113" s="7">
        <f>DAY(InputData4[[#This Row],[DATE]])</f>
        <v>23</v>
      </c>
      <c r="O113" s="7">
        <f>MONTH(InputData4[[#This Row],[DATE]])</f>
        <v>5</v>
      </c>
      <c r="P113" s="7">
        <f>YEAR(InputData4[[#This Row],[DATE]])</f>
        <v>2021</v>
      </c>
    </row>
    <row r="114" spans="1:16" x14ac:dyDescent="0.3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  <c r="G114" t="str">
        <f>VLOOKUP(InputData4[[#This Row],[PRODUCT ID]],MasterData[],2,0)</f>
        <v>Product23</v>
      </c>
      <c r="H114" t="str">
        <f>VLOOKUP(InputData4[[#This Row],[PRODUCT ID]],MasterData[],3,0)</f>
        <v>Category03</v>
      </c>
      <c r="I114" t="str">
        <f>VLOOKUP(InputData4[[#This Row],[PRODUCT ID]],MasterData[],4,0)</f>
        <v>Ft</v>
      </c>
      <c r="J114" s="9">
        <f>VLOOKUP(InputData4[[#This Row],[PRODUCT ID]],MasterData[],5,0)</f>
        <v>141</v>
      </c>
      <c r="K114" s="9">
        <f>VLOOKUP(InputData4[[#This Row],[PRODUCT ID]],MasterData[],6,0)</f>
        <v>149.46</v>
      </c>
      <c r="L114" s="9">
        <f>InputData4[[#This Row],[QUANTITY]]*InputData4[[#This Row],[BUYING PRIZE]]</f>
        <v>1833</v>
      </c>
      <c r="M114" s="9">
        <f>InputData4[[#This Row],[QUANTITY]]*InputData4[[#This Row],[SELLING PRICE]]*(1-InputData4[[#This Row],[DISCOUNT %]])</f>
        <v>1942.98</v>
      </c>
      <c r="N114" s="7">
        <f>DAY(InputData4[[#This Row],[DATE]])</f>
        <v>30</v>
      </c>
      <c r="O114" s="7">
        <f>MONTH(InputData4[[#This Row],[DATE]])</f>
        <v>5</v>
      </c>
      <c r="P114" s="7">
        <f>YEAR(InputData4[[#This Row],[DATE]])</f>
        <v>2021</v>
      </c>
    </row>
    <row r="115" spans="1:16" x14ac:dyDescent="0.3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  <c r="G115" t="str">
        <f>VLOOKUP(InputData4[[#This Row],[PRODUCT ID]],MasterData[],2,0)</f>
        <v>Product13</v>
      </c>
      <c r="H115" t="str">
        <f>VLOOKUP(InputData4[[#This Row],[PRODUCT ID]],MasterData[],3,0)</f>
        <v>Category02</v>
      </c>
      <c r="I115" t="str">
        <f>VLOOKUP(InputData4[[#This Row],[PRODUCT ID]],MasterData[],4,0)</f>
        <v>Kg</v>
      </c>
      <c r="J115" s="9">
        <f>VLOOKUP(InputData4[[#This Row],[PRODUCT ID]],MasterData[],5,0)</f>
        <v>112</v>
      </c>
      <c r="K115" s="9">
        <f>VLOOKUP(InputData4[[#This Row],[PRODUCT ID]],MasterData[],6,0)</f>
        <v>122.08</v>
      </c>
      <c r="L115" s="9">
        <f>InputData4[[#This Row],[QUANTITY]]*InputData4[[#This Row],[BUYING PRIZE]]</f>
        <v>672</v>
      </c>
      <c r="M115" s="9">
        <f>InputData4[[#This Row],[QUANTITY]]*InputData4[[#This Row],[SELLING PRICE]]*(1-InputData4[[#This Row],[DISCOUNT %]])</f>
        <v>732.48</v>
      </c>
      <c r="N115" s="7">
        <f>DAY(InputData4[[#This Row],[DATE]])</f>
        <v>30</v>
      </c>
      <c r="O115" s="7">
        <f>MONTH(InputData4[[#This Row],[DATE]])</f>
        <v>5</v>
      </c>
      <c r="P115" s="7">
        <f>YEAR(InputData4[[#This Row],[DATE]])</f>
        <v>2021</v>
      </c>
    </row>
    <row r="116" spans="1:16" x14ac:dyDescent="0.3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  <c r="G116" t="str">
        <f>VLOOKUP(InputData4[[#This Row],[PRODUCT ID]],MasterData[],2,0)</f>
        <v>Product21</v>
      </c>
      <c r="H116" t="str">
        <f>VLOOKUP(InputData4[[#This Row],[PRODUCT ID]],MasterData[],3,0)</f>
        <v>Category03</v>
      </c>
      <c r="I116" t="str">
        <f>VLOOKUP(InputData4[[#This Row],[PRODUCT ID]],MasterData[],4,0)</f>
        <v>Ft</v>
      </c>
      <c r="J116" s="9">
        <f>VLOOKUP(InputData4[[#This Row],[PRODUCT ID]],MasterData[],5,0)</f>
        <v>126</v>
      </c>
      <c r="K116" s="9">
        <f>VLOOKUP(InputData4[[#This Row],[PRODUCT ID]],MasterData[],6,0)</f>
        <v>162.54</v>
      </c>
      <c r="L116" s="9">
        <f>InputData4[[#This Row],[QUANTITY]]*InputData4[[#This Row],[BUYING PRIZE]]</f>
        <v>1260</v>
      </c>
      <c r="M116" s="9">
        <f>InputData4[[#This Row],[QUANTITY]]*InputData4[[#This Row],[SELLING PRICE]]*(1-InputData4[[#This Row],[DISCOUNT %]])</f>
        <v>1625.3999999999999</v>
      </c>
      <c r="N116" s="7">
        <f>DAY(InputData4[[#This Row],[DATE]])</f>
        <v>3</v>
      </c>
      <c r="O116" s="7">
        <f>MONTH(InputData4[[#This Row],[DATE]])</f>
        <v>6</v>
      </c>
      <c r="P116" s="7">
        <f>YEAR(InputData4[[#This Row],[DATE]])</f>
        <v>2021</v>
      </c>
    </row>
    <row r="117" spans="1:16" x14ac:dyDescent="0.3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  <c r="G117" t="str">
        <f>VLOOKUP(InputData4[[#This Row],[PRODUCT ID]],MasterData[],2,0)</f>
        <v>Product20</v>
      </c>
      <c r="H117" t="str">
        <f>VLOOKUP(InputData4[[#This Row],[PRODUCT ID]],MasterData[],3,0)</f>
        <v>Category03</v>
      </c>
      <c r="I117" t="str">
        <f>VLOOKUP(InputData4[[#This Row],[PRODUCT ID]],MasterData[],4,0)</f>
        <v>Lt</v>
      </c>
      <c r="J117" s="9">
        <f>VLOOKUP(InputData4[[#This Row],[PRODUCT ID]],MasterData[],5,0)</f>
        <v>61</v>
      </c>
      <c r="K117" s="9">
        <f>VLOOKUP(InputData4[[#This Row],[PRODUCT ID]],MasterData[],6,0)</f>
        <v>76.25</v>
      </c>
      <c r="L117" s="9">
        <f>InputData4[[#This Row],[QUANTITY]]*InputData4[[#This Row],[BUYING PRIZE]]</f>
        <v>488</v>
      </c>
      <c r="M117" s="9">
        <f>InputData4[[#This Row],[QUANTITY]]*InputData4[[#This Row],[SELLING PRICE]]*(1-InputData4[[#This Row],[DISCOUNT %]])</f>
        <v>610</v>
      </c>
      <c r="N117" s="7">
        <f>DAY(InputData4[[#This Row],[DATE]])</f>
        <v>4</v>
      </c>
      <c r="O117" s="7">
        <f>MONTH(InputData4[[#This Row],[DATE]])</f>
        <v>6</v>
      </c>
      <c r="P117" s="7">
        <f>YEAR(InputData4[[#This Row],[DATE]])</f>
        <v>2021</v>
      </c>
    </row>
    <row r="118" spans="1:16" x14ac:dyDescent="0.3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  <c r="G118" t="str">
        <f>VLOOKUP(InputData4[[#This Row],[PRODUCT ID]],MasterData[],2,0)</f>
        <v>Product20</v>
      </c>
      <c r="H118" t="str">
        <f>VLOOKUP(InputData4[[#This Row],[PRODUCT ID]],MasterData[],3,0)</f>
        <v>Category03</v>
      </c>
      <c r="I118" t="str">
        <f>VLOOKUP(InputData4[[#This Row],[PRODUCT ID]],MasterData[],4,0)</f>
        <v>Lt</v>
      </c>
      <c r="J118" s="9">
        <f>VLOOKUP(InputData4[[#This Row],[PRODUCT ID]],MasterData[],5,0)</f>
        <v>61</v>
      </c>
      <c r="K118" s="9">
        <f>VLOOKUP(InputData4[[#This Row],[PRODUCT ID]],MasterData[],6,0)</f>
        <v>76.25</v>
      </c>
      <c r="L118" s="9">
        <f>InputData4[[#This Row],[QUANTITY]]*InputData4[[#This Row],[BUYING PRIZE]]</f>
        <v>732</v>
      </c>
      <c r="M118" s="9">
        <f>InputData4[[#This Row],[QUANTITY]]*InputData4[[#This Row],[SELLING PRICE]]*(1-InputData4[[#This Row],[DISCOUNT %]])</f>
        <v>915</v>
      </c>
      <c r="N118" s="7">
        <f>DAY(InputData4[[#This Row],[DATE]])</f>
        <v>4</v>
      </c>
      <c r="O118" s="7">
        <f>MONTH(InputData4[[#This Row],[DATE]])</f>
        <v>6</v>
      </c>
      <c r="P118" s="7">
        <f>YEAR(InputData4[[#This Row],[DATE]])</f>
        <v>2021</v>
      </c>
    </row>
    <row r="119" spans="1:16" x14ac:dyDescent="0.3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  <c r="G119" t="str">
        <f>VLOOKUP(InputData4[[#This Row],[PRODUCT ID]],MasterData[],2,0)</f>
        <v>Product22</v>
      </c>
      <c r="H119" t="str">
        <f>VLOOKUP(InputData4[[#This Row],[PRODUCT ID]],MasterData[],3,0)</f>
        <v>Category03</v>
      </c>
      <c r="I119" t="str">
        <f>VLOOKUP(InputData4[[#This Row],[PRODUCT ID]],MasterData[],4,0)</f>
        <v>Ft</v>
      </c>
      <c r="J119" s="9">
        <f>VLOOKUP(InputData4[[#This Row],[PRODUCT ID]],MasterData[],5,0)</f>
        <v>121</v>
      </c>
      <c r="K119" s="9">
        <f>VLOOKUP(InputData4[[#This Row],[PRODUCT ID]],MasterData[],6,0)</f>
        <v>141.57</v>
      </c>
      <c r="L119" s="9">
        <f>InputData4[[#This Row],[QUANTITY]]*InputData4[[#This Row],[BUYING PRIZE]]</f>
        <v>1815</v>
      </c>
      <c r="M119" s="9">
        <f>InputData4[[#This Row],[QUANTITY]]*InputData4[[#This Row],[SELLING PRICE]]*(1-InputData4[[#This Row],[DISCOUNT %]])</f>
        <v>2123.5499999999997</v>
      </c>
      <c r="N119" s="7">
        <f>DAY(InputData4[[#This Row],[DATE]])</f>
        <v>5</v>
      </c>
      <c r="O119" s="7">
        <f>MONTH(InputData4[[#This Row],[DATE]])</f>
        <v>6</v>
      </c>
      <c r="P119" s="7">
        <f>YEAR(InputData4[[#This Row],[DATE]])</f>
        <v>2021</v>
      </c>
    </row>
    <row r="120" spans="1:16" x14ac:dyDescent="0.3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  <c r="G120" t="str">
        <f>VLOOKUP(InputData4[[#This Row],[PRODUCT ID]],MasterData[],2,0)</f>
        <v>Product35</v>
      </c>
      <c r="H120" t="str">
        <f>VLOOKUP(InputData4[[#This Row],[PRODUCT ID]],MasterData[],3,0)</f>
        <v>Category04</v>
      </c>
      <c r="I120" t="str">
        <f>VLOOKUP(InputData4[[#This Row],[PRODUCT ID]],MasterData[],4,0)</f>
        <v>No.</v>
      </c>
      <c r="J120" s="9">
        <f>VLOOKUP(InputData4[[#This Row],[PRODUCT ID]],MasterData[],5,0)</f>
        <v>5</v>
      </c>
      <c r="K120" s="9">
        <f>VLOOKUP(InputData4[[#This Row],[PRODUCT ID]],MasterData[],6,0)</f>
        <v>6.7</v>
      </c>
      <c r="L120" s="9">
        <f>InputData4[[#This Row],[QUANTITY]]*InputData4[[#This Row],[BUYING PRIZE]]</f>
        <v>50</v>
      </c>
      <c r="M120" s="9">
        <f>InputData4[[#This Row],[QUANTITY]]*InputData4[[#This Row],[SELLING PRICE]]*(1-InputData4[[#This Row],[DISCOUNT %]])</f>
        <v>67</v>
      </c>
      <c r="N120" s="7">
        <f>DAY(InputData4[[#This Row],[DATE]])</f>
        <v>5</v>
      </c>
      <c r="O120" s="7">
        <f>MONTH(InputData4[[#This Row],[DATE]])</f>
        <v>6</v>
      </c>
      <c r="P120" s="7">
        <f>YEAR(InputData4[[#This Row],[DATE]])</f>
        <v>2021</v>
      </c>
    </row>
    <row r="121" spans="1:16" x14ac:dyDescent="0.3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  <c r="G121" t="str">
        <f>VLOOKUP(InputData4[[#This Row],[PRODUCT ID]],MasterData[],2,0)</f>
        <v>Product33</v>
      </c>
      <c r="H121" t="str">
        <f>VLOOKUP(InputData4[[#This Row],[PRODUCT ID]],MasterData[],3,0)</f>
        <v>Category04</v>
      </c>
      <c r="I121" t="str">
        <f>VLOOKUP(InputData4[[#This Row],[PRODUCT ID]],MasterData[],4,0)</f>
        <v>Kg</v>
      </c>
      <c r="J121" s="9">
        <f>VLOOKUP(InputData4[[#This Row],[PRODUCT ID]],MasterData[],5,0)</f>
        <v>95</v>
      </c>
      <c r="K121" s="9">
        <f>VLOOKUP(InputData4[[#This Row],[PRODUCT ID]],MasterData[],6,0)</f>
        <v>119.7</v>
      </c>
      <c r="L121" s="9">
        <f>InputData4[[#This Row],[QUANTITY]]*InputData4[[#This Row],[BUYING PRIZE]]</f>
        <v>570</v>
      </c>
      <c r="M121" s="9">
        <f>InputData4[[#This Row],[QUANTITY]]*InputData4[[#This Row],[SELLING PRICE]]*(1-InputData4[[#This Row],[DISCOUNT %]])</f>
        <v>718.2</v>
      </c>
      <c r="N121" s="7">
        <f>DAY(InputData4[[#This Row],[DATE]])</f>
        <v>6</v>
      </c>
      <c r="O121" s="7">
        <f>MONTH(InputData4[[#This Row],[DATE]])</f>
        <v>6</v>
      </c>
      <c r="P121" s="7">
        <f>YEAR(InputData4[[#This Row],[DATE]])</f>
        <v>2021</v>
      </c>
    </row>
    <row r="122" spans="1:16" x14ac:dyDescent="0.3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  <c r="G122" t="str">
        <f>VLOOKUP(InputData4[[#This Row],[PRODUCT ID]],MasterData[],2,0)</f>
        <v>Product28</v>
      </c>
      <c r="H122" t="str">
        <f>VLOOKUP(InputData4[[#This Row],[PRODUCT ID]],MasterData[],3,0)</f>
        <v>Category04</v>
      </c>
      <c r="I122" t="str">
        <f>VLOOKUP(InputData4[[#This Row],[PRODUCT ID]],MasterData[],4,0)</f>
        <v>No.</v>
      </c>
      <c r="J122" s="9">
        <f>VLOOKUP(InputData4[[#This Row],[PRODUCT ID]],MasterData[],5,0)</f>
        <v>37</v>
      </c>
      <c r="K122" s="9">
        <f>VLOOKUP(InputData4[[#This Row],[PRODUCT ID]],MasterData[],6,0)</f>
        <v>41.81</v>
      </c>
      <c r="L122" s="9">
        <f>InputData4[[#This Row],[QUANTITY]]*InputData4[[#This Row],[BUYING PRIZE]]</f>
        <v>407</v>
      </c>
      <c r="M122" s="9">
        <f>InputData4[[#This Row],[QUANTITY]]*InputData4[[#This Row],[SELLING PRICE]]*(1-InputData4[[#This Row],[DISCOUNT %]])</f>
        <v>459.91</v>
      </c>
      <c r="N122" s="7">
        <f>DAY(InputData4[[#This Row],[DATE]])</f>
        <v>8</v>
      </c>
      <c r="O122" s="7">
        <f>MONTH(InputData4[[#This Row],[DATE]])</f>
        <v>6</v>
      </c>
      <c r="P122" s="7">
        <f>YEAR(InputData4[[#This Row],[DATE]])</f>
        <v>2021</v>
      </c>
    </row>
    <row r="123" spans="1:16" x14ac:dyDescent="0.3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  <c r="G123" t="str">
        <f>VLOOKUP(InputData4[[#This Row],[PRODUCT ID]],MasterData[],2,0)</f>
        <v>Product04</v>
      </c>
      <c r="H123" t="str">
        <f>VLOOKUP(InputData4[[#This Row],[PRODUCT ID]],MasterData[],3,0)</f>
        <v>Category01</v>
      </c>
      <c r="I123" t="str">
        <f>VLOOKUP(InputData4[[#This Row],[PRODUCT ID]],MasterData[],4,0)</f>
        <v>Lt</v>
      </c>
      <c r="J123" s="9">
        <f>VLOOKUP(InputData4[[#This Row],[PRODUCT ID]],MasterData[],5,0)</f>
        <v>44</v>
      </c>
      <c r="K123" s="9">
        <f>VLOOKUP(InputData4[[#This Row],[PRODUCT ID]],MasterData[],6,0)</f>
        <v>48.84</v>
      </c>
      <c r="L123" s="9">
        <f>InputData4[[#This Row],[QUANTITY]]*InputData4[[#This Row],[BUYING PRIZE]]</f>
        <v>484</v>
      </c>
      <c r="M123" s="9">
        <f>InputData4[[#This Row],[QUANTITY]]*InputData4[[#This Row],[SELLING PRICE]]*(1-InputData4[[#This Row],[DISCOUNT %]])</f>
        <v>537.24</v>
      </c>
      <c r="N123" s="7">
        <f>DAY(InputData4[[#This Row],[DATE]])</f>
        <v>8</v>
      </c>
      <c r="O123" s="7">
        <f>MONTH(InputData4[[#This Row],[DATE]])</f>
        <v>6</v>
      </c>
      <c r="P123" s="7">
        <f>YEAR(InputData4[[#This Row],[DATE]])</f>
        <v>2021</v>
      </c>
    </row>
    <row r="124" spans="1:16" x14ac:dyDescent="0.3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  <c r="G124" t="str">
        <f>VLOOKUP(InputData4[[#This Row],[PRODUCT ID]],MasterData[],2,0)</f>
        <v>Product01</v>
      </c>
      <c r="H124" t="str">
        <f>VLOOKUP(InputData4[[#This Row],[PRODUCT ID]],MasterData[],3,0)</f>
        <v>Category01</v>
      </c>
      <c r="I124" t="str">
        <f>VLOOKUP(InputData4[[#This Row],[PRODUCT ID]],MasterData[],4,0)</f>
        <v>Kg</v>
      </c>
      <c r="J124" s="9">
        <f>VLOOKUP(InputData4[[#This Row],[PRODUCT ID]],MasterData[],5,0)</f>
        <v>98</v>
      </c>
      <c r="K124" s="9">
        <f>VLOOKUP(InputData4[[#This Row],[PRODUCT ID]],MasterData[],6,0)</f>
        <v>103.88</v>
      </c>
      <c r="L124" s="9">
        <f>InputData4[[#This Row],[QUANTITY]]*InputData4[[#This Row],[BUYING PRIZE]]</f>
        <v>686</v>
      </c>
      <c r="M124" s="9">
        <f>InputData4[[#This Row],[QUANTITY]]*InputData4[[#This Row],[SELLING PRICE]]*(1-InputData4[[#This Row],[DISCOUNT %]])</f>
        <v>727.16</v>
      </c>
      <c r="N124" s="7">
        <f>DAY(InputData4[[#This Row],[DATE]])</f>
        <v>9</v>
      </c>
      <c r="O124" s="7">
        <f>MONTH(InputData4[[#This Row],[DATE]])</f>
        <v>6</v>
      </c>
      <c r="P124" s="7">
        <f>YEAR(InputData4[[#This Row],[DATE]])</f>
        <v>2021</v>
      </c>
    </row>
    <row r="125" spans="1:16" x14ac:dyDescent="0.3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  <c r="G125" t="str">
        <f>VLOOKUP(InputData4[[#This Row],[PRODUCT ID]],MasterData[],2,0)</f>
        <v>Product32</v>
      </c>
      <c r="H125" t="str">
        <f>VLOOKUP(InputData4[[#This Row],[PRODUCT ID]],MasterData[],3,0)</f>
        <v>Category04</v>
      </c>
      <c r="I125" t="str">
        <f>VLOOKUP(InputData4[[#This Row],[PRODUCT ID]],MasterData[],4,0)</f>
        <v>Kg</v>
      </c>
      <c r="J125" s="9">
        <f>VLOOKUP(InputData4[[#This Row],[PRODUCT ID]],MasterData[],5,0)</f>
        <v>89</v>
      </c>
      <c r="K125" s="9">
        <f>VLOOKUP(InputData4[[#This Row],[PRODUCT ID]],MasterData[],6,0)</f>
        <v>117.48</v>
      </c>
      <c r="L125" s="9">
        <f>InputData4[[#This Row],[QUANTITY]]*InputData4[[#This Row],[BUYING PRIZE]]</f>
        <v>1068</v>
      </c>
      <c r="M125" s="9">
        <f>InputData4[[#This Row],[QUANTITY]]*InputData4[[#This Row],[SELLING PRICE]]*(1-InputData4[[#This Row],[DISCOUNT %]])</f>
        <v>1409.76</v>
      </c>
      <c r="N125" s="7">
        <f>DAY(InputData4[[#This Row],[DATE]])</f>
        <v>11</v>
      </c>
      <c r="O125" s="7">
        <f>MONTH(InputData4[[#This Row],[DATE]])</f>
        <v>6</v>
      </c>
      <c r="P125" s="7">
        <f>YEAR(InputData4[[#This Row],[DATE]])</f>
        <v>2021</v>
      </c>
    </row>
    <row r="126" spans="1:16" x14ac:dyDescent="0.3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  <c r="G126" t="str">
        <f>VLOOKUP(InputData4[[#This Row],[PRODUCT ID]],MasterData[],2,0)</f>
        <v>Product41</v>
      </c>
      <c r="H126" t="str">
        <f>VLOOKUP(InputData4[[#This Row],[PRODUCT ID]],MasterData[],3,0)</f>
        <v>Category05</v>
      </c>
      <c r="I126" t="str">
        <f>VLOOKUP(InputData4[[#This Row],[PRODUCT ID]],MasterData[],4,0)</f>
        <v>Ft</v>
      </c>
      <c r="J126" s="9">
        <f>VLOOKUP(InputData4[[#This Row],[PRODUCT ID]],MasterData[],5,0)</f>
        <v>138</v>
      </c>
      <c r="K126" s="9">
        <f>VLOOKUP(InputData4[[#This Row],[PRODUCT ID]],MasterData[],6,0)</f>
        <v>173.88</v>
      </c>
      <c r="L126" s="9">
        <f>InputData4[[#This Row],[QUANTITY]]*InputData4[[#This Row],[BUYING PRIZE]]</f>
        <v>828</v>
      </c>
      <c r="M126" s="9">
        <f>InputData4[[#This Row],[QUANTITY]]*InputData4[[#This Row],[SELLING PRICE]]*(1-InputData4[[#This Row],[DISCOUNT %]])</f>
        <v>1043.28</v>
      </c>
      <c r="N126" s="7">
        <f>DAY(InputData4[[#This Row],[DATE]])</f>
        <v>12</v>
      </c>
      <c r="O126" s="7">
        <f>MONTH(InputData4[[#This Row],[DATE]])</f>
        <v>6</v>
      </c>
      <c r="P126" s="7">
        <f>YEAR(InputData4[[#This Row],[DATE]])</f>
        <v>2021</v>
      </c>
    </row>
    <row r="127" spans="1:16" x14ac:dyDescent="0.3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  <c r="G127" t="str">
        <f>VLOOKUP(InputData4[[#This Row],[PRODUCT ID]],MasterData[],2,0)</f>
        <v>Product25</v>
      </c>
      <c r="H127" t="str">
        <f>VLOOKUP(InputData4[[#This Row],[PRODUCT ID]],MasterData[],3,0)</f>
        <v>Category03</v>
      </c>
      <c r="I127" t="str">
        <f>VLOOKUP(InputData4[[#This Row],[PRODUCT ID]],MasterData[],4,0)</f>
        <v>No.</v>
      </c>
      <c r="J127" s="9">
        <f>VLOOKUP(InputData4[[#This Row],[PRODUCT ID]],MasterData[],5,0)</f>
        <v>7</v>
      </c>
      <c r="K127" s="9">
        <f>VLOOKUP(InputData4[[#This Row],[PRODUCT ID]],MasterData[],6,0)</f>
        <v>8.33</v>
      </c>
      <c r="L127" s="9">
        <f>InputData4[[#This Row],[QUANTITY]]*InputData4[[#This Row],[BUYING PRIZE]]</f>
        <v>70</v>
      </c>
      <c r="M127" s="9">
        <f>InputData4[[#This Row],[QUANTITY]]*InputData4[[#This Row],[SELLING PRICE]]*(1-InputData4[[#This Row],[DISCOUNT %]])</f>
        <v>83.3</v>
      </c>
      <c r="N127" s="7">
        <f>DAY(InputData4[[#This Row],[DATE]])</f>
        <v>14</v>
      </c>
      <c r="O127" s="7">
        <f>MONTH(InputData4[[#This Row],[DATE]])</f>
        <v>6</v>
      </c>
      <c r="P127" s="7">
        <f>YEAR(InputData4[[#This Row],[DATE]])</f>
        <v>2021</v>
      </c>
    </row>
    <row r="128" spans="1:16" x14ac:dyDescent="0.3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  <c r="G128" t="str">
        <f>VLOOKUP(InputData4[[#This Row],[PRODUCT ID]],MasterData[],2,0)</f>
        <v>Product19</v>
      </c>
      <c r="H128" t="str">
        <f>VLOOKUP(InputData4[[#This Row],[PRODUCT ID]],MasterData[],3,0)</f>
        <v>Category02</v>
      </c>
      <c r="I128" t="str">
        <f>VLOOKUP(InputData4[[#This Row],[PRODUCT ID]],MasterData[],4,0)</f>
        <v>Ft</v>
      </c>
      <c r="J128" s="9">
        <f>VLOOKUP(InputData4[[#This Row],[PRODUCT ID]],MasterData[],5,0)</f>
        <v>150</v>
      </c>
      <c r="K128" s="9">
        <f>VLOOKUP(InputData4[[#This Row],[PRODUCT ID]],MasterData[],6,0)</f>
        <v>210</v>
      </c>
      <c r="L128" s="9">
        <f>InputData4[[#This Row],[QUANTITY]]*InputData4[[#This Row],[BUYING PRIZE]]</f>
        <v>750</v>
      </c>
      <c r="M128" s="9">
        <f>InputData4[[#This Row],[QUANTITY]]*InputData4[[#This Row],[SELLING PRICE]]*(1-InputData4[[#This Row],[DISCOUNT %]])</f>
        <v>1050</v>
      </c>
      <c r="N128" s="7">
        <f>DAY(InputData4[[#This Row],[DATE]])</f>
        <v>16</v>
      </c>
      <c r="O128" s="7">
        <f>MONTH(InputData4[[#This Row],[DATE]])</f>
        <v>6</v>
      </c>
      <c r="P128" s="7">
        <f>YEAR(InputData4[[#This Row],[DATE]])</f>
        <v>2021</v>
      </c>
    </row>
    <row r="129" spans="1:16" x14ac:dyDescent="0.3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  <c r="G129" t="str">
        <f>VLOOKUP(InputData4[[#This Row],[PRODUCT ID]],MasterData[],2,0)</f>
        <v>Product15</v>
      </c>
      <c r="H129" t="str">
        <f>VLOOKUP(InputData4[[#This Row],[PRODUCT ID]],MasterData[],3,0)</f>
        <v>Category02</v>
      </c>
      <c r="I129" t="str">
        <f>VLOOKUP(InputData4[[#This Row],[PRODUCT ID]],MasterData[],4,0)</f>
        <v>No.</v>
      </c>
      <c r="J129" s="9">
        <f>VLOOKUP(InputData4[[#This Row],[PRODUCT ID]],MasterData[],5,0)</f>
        <v>12</v>
      </c>
      <c r="K129" s="9">
        <f>VLOOKUP(InputData4[[#This Row],[PRODUCT ID]],MasterData[],6,0)</f>
        <v>15.719999999999999</v>
      </c>
      <c r="L129" s="9">
        <f>InputData4[[#This Row],[QUANTITY]]*InputData4[[#This Row],[BUYING PRIZE]]</f>
        <v>144</v>
      </c>
      <c r="M129" s="9">
        <f>InputData4[[#This Row],[QUANTITY]]*InputData4[[#This Row],[SELLING PRICE]]*(1-InputData4[[#This Row],[DISCOUNT %]])</f>
        <v>188.64</v>
      </c>
      <c r="N129" s="7">
        <f>DAY(InputData4[[#This Row],[DATE]])</f>
        <v>16</v>
      </c>
      <c r="O129" s="7">
        <f>MONTH(InputData4[[#This Row],[DATE]])</f>
        <v>6</v>
      </c>
      <c r="P129" s="7">
        <f>YEAR(InputData4[[#This Row],[DATE]])</f>
        <v>2021</v>
      </c>
    </row>
    <row r="130" spans="1:16" x14ac:dyDescent="0.3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  <c r="G130" t="str">
        <f>VLOOKUP(InputData4[[#This Row],[PRODUCT ID]],MasterData[],2,0)</f>
        <v>Product39</v>
      </c>
      <c r="H130" t="str">
        <f>VLOOKUP(InputData4[[#This Row],[PRODUCT ID]],MasterData[],3,0)</f>
        <v>Category05</v>
      </c>
      <c r="I130" t="str">
        <f>VLOOKUP(InputData4[[#This Row],[PRODUCT ID]],MasterData[],4,0)</f>
        <v>No.</v>
      </c>
      <c r="J130" s="9">
        <f>VLOOKUP(InputData4[[#This Row],[PRODUCT ID]],MasterData[],5,0)</f>
        <v>37</v>
      </c>
      <c r="K130" s="9">
        <f>VLOOKUP(InputData4[[#This Row],[PRODUCT ID]],MasterData[],6,0)</f>
        <v>42.55</v>
      </c>
      <c r="L130" s="9">
        <f>InputData4[[#This Row],[QUANTITY]]*InputData4[[#This Row],[BUYING PRIZE]]</f>
        <v>407</v>
      </c>
      <c r="M130" s="9">
        <f>InputData4[[#This Row],[QUANTITY]]*InputData4[[#This Row],[SELLING PRICE]]*(1-InputData4[[#This Row],[DISCOUNT %]])</f>
        <v>468.04999999999995</v>
      </c>
      <c r="N130" s="7">
        <f>DAY(InputData4[[#This Row],[DATE]])</f>
        <v>16</v>
      </c>
      <c r="O130" s="7">
        <f>MONTH(InputData4[[#This Row],[DATE]])</f>
        <v>6</v>
      </c>
      <c r="P130" s="7">
        <f>YEAR(InputData4[[#This Row],[DATE]])</f>
        <v>2021</v>
      </c>
    </row>
    <row r="131" spans="1:16" x14ac:dyDescent="0.3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  <c r="G131" t="str">
        <f>VLOOKUP(InputData4[[#This Row],[PRODUCT ID]],MasterData[],2,0)</f>
        <v>Product25</v>
      </c>
      <c r="H131" t="str">
        <f>VLOOKUP(InputData4[[#This Row],[PRODUCT ID]],MasterData[],3,0)</f>
        <v>Category03</v>
      </c>
      <c r="I131" t="str">
        <f>VLOOKUP(InputData4[[#This Row],[PRODUCT ID]],MasterData[],4,0)</f>
        <v>No.</v>
      </c>
      <c r="J131" s="9">
        <f>VLOOKUP(InputData4[[#This Row],[PRODUCT ID]],MasterData[],5,0)</f>
        <v>7</v>
      </c>
      <c r="K131" s="9">
        <f>VLOOKUP(InputData4[[#This Row],[PRODUCT ID]],MasterData[],6,0)</f>
        <v>8.33</v>
      </c>
      <c r="L131" s="9">
        <f>InputData4[[#This Row],[QUANTITY]]*InputData4[[#This Row],[BUYING PRIZE]]</f>
        <v>91</v>
      </c>
      <c r="M131" s="9">
        <f>InputData4[[#This Row],[QUANTITY]]*InputData4[[#This Row],[SELLING PRICE]]*(1-InputData4[[#This Row],[DISCOUNT %]])</f>
        <v>108.29</v>
      </c>
      <c r="N131" s="7">
        <f>DAY(InputData4[[#This Row],[DATE]])</f>
        <v>18</v>
      </c>
      <c r="O131" s="7">
        <f>MONTH(InputData4[[#This Row],[DATE]])</f>
        <v>6</v>
      </c>
      <c r="P131" s="7">
        <f>YEAR(InputData4[[#This Row],[DATE]])</f>
        <v>2021</v>
      </c>
    </row>
    <row r="132" spans="1:16" x14ac:dyDescent="0.3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  <c r="G132" t="str">
        <f>VLOOKUP(InputData4[[#This Row],[PRODUCT ID]],MasterData[],2,0)</f>
        <v>Product41</v>
      </c>
      <c r="H132" t="str">
        <f>VLOOKUP(InputData4[[#This Row],[PRODUCT ID]],MasterData[],3,0)</f>
        <v>Category05</v>
      </c>
      <c r="I132" t="str">
        <f>VLOOKUP(InputData4[[#This Row],[PRODUCT ID]],MasterData[],4,0)</f>
        <v>Ft</v>
      </c>
      <c r="J132" s="9">
        <f>VLOOKUP(InputData4[[#This Row],[PRODUCT ID]],MasterData[],5,0)</f>
        <v>138</v>
      </c>
      <c r="K132" s="9">
        <f>VLOOKUP(InputData4[[#This Row],[PRODUCT ID]],MasterData[],6,0)</f>
        <v>173.88</v>
      </c>
      <c r="L132" s="9">
        <f>InputData4[[#This Row],[QUANTITY]]*InputData4[[#This Row],[BUYING PRIZE]]</f>
        <v>690</v>
      </c>
      <c r="M132" s="9">
        <f>InputData4[[#This Row],[QUANTITY]]*InputData4[[#This Row],[SELLING PRICE]]*(1-InputData4[[#This Row],[DISCOUNT %]])</f>
        <v>869.4</v>
      </c>
      <c r="N132" s="7">
        <f>DAY(InputData4[[#This Row],[DATE]])</f>
        <v>19</v>
      </c>
      <c r="O132" s="7">
        <f>MONTH(InputData4[[#This Row],[DATE]])</f>
        <v>6</v>
      </c>
      <c r="P132" s="7">
        <f>YEAR(InputData4[[#This Row],[DATE]])</f>
        <v>2021</v>
      </c>
    </row>
    <row r="133" spans="1:16" x14ac:dyDescent="0.3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  <c r="G133" t="str">
        <f>VLOOKUP(InputData4[[#This Row],[PRODUCT ID]],MasterData[],2,0)</f>
        <v>Product16</v>
      </c>
      <c r="H133" t="str">
        <f>VLOOKUP(InputData4[[#This Row],[PRODUCT ID]],MasterData[],3,0)</f>
        <v>Category02</v>
      </c>
      <c r="I133" t="str">
        <f>VLOOKUP(InputData4[[#This Row],[PRODUCT ID]],MasterData[],4,0)</f>
        <v>No.</v>
      </c>
      <c r="J133" s="9">
        <f>VLOOKUP(InputData4[[#This Row],[PRODUCT ID]],MasterData[],5,0)</f>
        <v>13</v>
      </c>
      <c r="K133" s="9">
        <f>VLOOKUP(InputData4[[#This Row],[PRODUCT ID]],MasterData[],6,0)</f>
        <v>16.64</v>
      </c>
      <c r="L133" s="9">
        <f>InputData4[[#This Row],[QUANTITY]]*InputData4[[#This Row],[BUYING PRIZE]]</f>
        <v>13</v>
      </c>
      <c r="M133" s="9">
        <f>InputData4[[#This Row],[QUANTITY]]*InputData4[[#This Row],[SELLING PRICE]]*(1-InputData4[[#This Row],[DISCOUNT %]])</f>
        <v>16.64</v>
      </c>
      <c r="N133" s="7">
        <f>DAY(InputData4[[#This Row],[DATE]])</f>
        <v>20</v>
      </c>
      <c r="O133" s="7">
        <f>MONTH(InputData4[[#This Row],[DATE]])</f>
        <v>6</v>
      </c>
      <c r="P133" s="7">
        <f>YEAR(InputData4[[#This Row],[DATE]])</f>
        <v>2021</v>
      </c>
    </row>
    <row r="134" spans="1:16" x14ac:dyDescent="0.3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  <c r="G134" t="str">
        <f>VLOOKUP(InputData4[[#This Row],[PRODUCT ID]],MasterData[],2,0)</f>
        <v>Product16</v>
      </c>
      <c r="H134" t="str">
        <f>VLOOKUP(InputData4[[#This Row],[PRODUCT ID]],MasterData[],3,0)</f>
        <v>Category02</v>
      </c>
      <c r="I134" t="str">
        <f>VLOOKUP(InputData4[[#This Row],[PRODUCT ID]],MasterData[],4,0)</f>
        <v>No.</v>
      </c>
      <c r="J134" s="9">
        <f>VLOOKUP(InputData4[[#This Row],[PRODUCT ID]],MasterData[],5,0)</f>
        <v>13</v>
      </c>
      <c r="K134" s="9">
        <f>VLOOKUP(InputData4[[#This Row],[PRODUCT ID]],MasterData[],6,0)</f>
        <v>16.64</v>
      </c>
      <c r="L134" s="9">
        <f>InputData4[[#This Row],[QUANTITY]]*InputData4[[#This Row],[BUYING PRIZE]]</f>
        <v>52</v>
      </c>
      <c r="M134" s="9">
        <f>InputData4[[#This Row],[QUANTITY]]*InputData4[[#This Row],[SELLING PRICE]]*(1-InputData4[[#This Row],[DISCOUNT %]])</f>
        <v>66.56</v>
      </c>
      <c r="N134" s="7">
        <f>DAY(InputData4[[#This Row],[DATE]])</f>
        <v>23</v>
      </c>
      <c r="O134" s="7">
        <f>MONTH(InputData4[[#This Row],[DATE]])</f>
        <v>6</v>
      </c>
      <c r="P134" s="7">
        <f>YEAR(InputData4[[#This Row],[DATE]])</f>
        <v>2021</v>
      </c>
    </row>
    <row r="135" spans="1:16" x14ac:dyDescent="0.3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  <c r="G135" t="str">
        <f>VLOOKUP(InputData4[[#This Row],[PRODUCT ID]],MasterData[],2,0)</f>
        <v>Product11</v>
      </c>
      <c r="H135" t="str">
        <f>VLOOKUP(InputData4[[#This Row],[PRODUCT ID]],MasterData[],3,0)</f>
        <v>Category02</v>
      </c>
      <c r="I135" t="str">
        <f>VLOOKUP(InputData4[[#This Row],[PRODUCT ID]],MasterData[],4,0)</f>
        <v>Lt</v>
      </c>
      <c r="J135" s="9">
        <f>VLOOKUP(InputData4[[#This Row],[PRODUCT ID]],MasterData[],5,0)</f>
        <v>44</v>
      </c>
      <c r="K135" s="9">
        <f>VLOOKUP(InputData4[[#This Row],[PRODUCT ID]],MasterData[],6,0)</f>
        <v>48.4</v>
      </c>
      <c r="L135" s="9">
        <f>InputData4[[#This Row],[QUANTITY]]*InputData4[[#This Row],[BUYING PRIZE]]</f>
        <v>572</v>
      </c>
      <c r="M135" s="9">
        <f>InputData4[[#This Row],[QUANTITY]]*InputData4[[#This Row],[SELLING PRICE]]*(1-InputData4[[#This Row],[DISCOUNT %]])</f>
        <v>629.19999999999993</v>
      </c>
      <c r="N135" s="7">
        <f>DAY(InputData4[[#This Row],[DATE]])</f>
        <v>24</v>
      </c>
      <c r="O135" s="7">
        <f>MONTH(InputData4[[#This Row],[DATE]])</f>
        <v>6</v>
      </c>
      <c r="P135" s="7">
        <f>YEAR(InputData4[[#This Row],[DATE]])</f>
        <v>2021</v>
      </c>
    </row>
    <row r="136" spans="1:16" x14ac:dyDescent="0.3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  <c r="G136" t="str">
        <f>VLOOKUP(InputData4[[#This Row],[PRODUCT ID]],MasterData[],2,0)</f>
        <v>Product09</v>
      </c>
      <c r="H136" t="str">
        <f>VLOOKUP(InputData4[[#This Row],[PRODUCT ID]],MasterData[],3,0)</f>
        <v>Category01</v>
      </c>
      <c r="I136" t="str">
        <f>VLOOKUP(InputData4[[#This Row],[PRODUCT ID]],MasterData[],4,0)</f>
        <v>No.</v>
      </c>
      <c r="J136" s="9">
        <f>VLOOKUP(InputData4[[#This Row],[PRODUCT ID]],MasterData[],5,0)</f>
        <v>6</v>
      </c>
      <c r="K136" s="9">
        <f>VLOOKUP(InputData4[[#This Row],[PRODUCT ID]],MasterData[],6,0)</f>
        <v>7.8599999999999994</v>
      </c>
      <c r="L136" s="9">
        <f>InputData4[[#This Row],[QUANTITY]]*InputData4[[#This Row],[BUYING PRIZE]]</f>
        <v>42</v>
      </c>
      <c r="M136" s="9">
        <f>InputData4[[#This Row],[QUANTITY]]*InputData4[[#This Row],[SELLING PRICE]]*(1-InputData4[[#This Row],[DISCOUNT %]])</f>
        <v>55.019999999999996</v>
      </c>
      <c r="N136" s="7">
        <f>DAY(InputData4[[#This Row],[DATE]])</f>
        <v>26</v>
      </c>
      <c r="O136" s="7">
        <f>MONTH(InputData4[[#This Row],[DATE]])</f>
        <v>6</v>
      </c>
      <c r="P136" s="7">
        <f>YEAR(InputData4[[#This Row],[DATE]])</f>
        <v>2021</v>
      </c>
    </row>
    <row r="137" spans="1:16" x14ac:dyDescent="0.3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  <c r="G137" t="str">
        <f>VLOOKUP(InputData4[[#This Row],[PRODUCT ID]],MasterData[],2,0)</f>
        <v>Product05</v>
      </c>
      <c r="H137" t="str">
        <f>VLOOKUP(InputData4[[#This Row],[PRODUCT ID]],MasterData[],3,0)</f>
        <v>Category01</v>
      </c>
      <c r="I137" t="str">
        <f>VLOOKUP(InputData4[[#This Row],[PRODUCT ID]],MasterData[],4,0)</f>
        <v>Ft</v>
      </c>
      <c r="J137" s="9">
        <f>VLOOKUP(InputData4[[#This Row],[PRODUCT ID]],MasterData[],5,0)</f>
        <v>133</v>
      </c>
      <c r="K137" s="9">
        <f>VLOOKUP(InputData4[[#This Row],[PRODUCT ID]],MasterData[],6,0)</f>
        <v>155.61000000000001</v>
      </c>
      <c r="L137" s="9">
        <f>InputData4[[#This Row],[QUANTITY]]*InputData4[[#This Row],[BUYING PRIZE]]</f>
        <v>1463</v>
      </c>
      <c r="M137" s="9">
        <f>InputData4[[#This Row],[QUANTITY]]*InputData4[[#This Row],[SELLING PRICE]]*(1-InputData4[[#This Row],[DISCOUNT %]])</f>
        <v>1711.71</v>
      </c>
      <c r="N137" s="7">
        <f>DAY(InputData4[[#This Row],[DATE]])</f>
        <v>27</v>
      </c>
      <c r="O137" s="7">
        <f>MONTH(InputData4[[#This Row],[DATE]])</f>
        <v>6</v>
      </c>
      <c r="P137" s="7">
        <f>YEAR(InputData4[[#This Row],[DATE]])</f>
        <v>2021</v>
      </c>
    </row>
    <row r="138" spans="1:16" x14ac:dyDescent="0.3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  <c r="G138" t="str">
        <f>VLOOKUP(InputData4[[#This Row],[PRODUCT ID]],MasterData[],2,0)</f>
        <v>Product21</v>
      </c>
      <c r="H138" t="str">
        <f>VLOOKUP(InputData4[[#This Row],[PRODUCT ID]],MasterData[],3,0)</f>
        <v>Category03</v>
      </c>
      <c r="I138" t="str">
        <f>VLOOKUP(InputData4[[#This Row],[PRODUCT ID]],MasterData[],4,0)</f>
        <v>Ft</v>
      </c>
      <c r="J138" s="9">
        <f>VLOOKUP(InputData4[[#This Row],[PRODUCT ID]],MasterData[],5,0)</f>
        <v>126</v>
      </c>
      <c r="K138" s="9">
        <f>VLOOKUP(InputData4[[#This Row],[PRODUCT ID]],MasterData[],6,0)</f>
        <v>162.54</v>
      </c>
      <c r="L138" s="9">
        <f>InputData4[[#This Row],[QUANTITY]]*InputData4[[#This Row],[BUYING PRIZE]]</f>
        <v>252</v>
      </c>
      <c r="M138" s="9">
        <f>InputData4[[#This Row],[QUANTITY]]*InputData4[[#This Row],[SELLING PRICE]]*(1-InputData4[[#This Row],[DISCOUNT %]])</f>
        <v>325.08</v>
      </c>
      <c r="N138" s="7">
        <f>DAY(InputData4[[#This Row],[DATE]])</f>
        <v>28</v>
      </c>
      <c r="O138" s="7">
        <f>MONTH(InputData4[[#This Row],[DATE]])</f>
        <v>6</v>
      </c>
      <c r="P138" s="7">
        <f>YEAR(InputData4[[#This Row],[DATE]])</f>
        <v>2021</v>
      </c>
    </row>
    <row r="139" spans="1:16" x14ac:dyDescent="0.3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  <c r="G139" t="str">
        <f>VLOOKUP(InputData4[[#This Row],[PRODUCT ID]],MasterData[],2,0)</f>
        <v>Product35</v>
      </c>
      <c r="H139" t="str">
        <f>VLOOKUP(InputData4[[#This Row],[PRODUCT ID]],MasterData[],3,0)</f>
        <v>Category04</v>
      </c>
      <c r="I139" t="str">
        <f>VLOOKUP(InputData4[[#This Row],[PRODUCT ID]],MasterData[],4,0)</f>
        <v>No.</v>
      </c>
      <c r="J139" s="9">
        <f>VLOOKUP(InputData4[[#This Row],[PRODUCT ID]],MasterData[],5,0)</f>
        <v>5</v>
      </c>
      <c r="K139" s="9">
        <f>VLOOKUP(InputData4[[#This Row],[PRODUCT ID]],MasterData[],6,0)</f>
        <v>6.7</v>
      </c>
      <c r="L139" s="9">
        <f>InputData4[[#This Row],[QUANTITY]]*InputData4[[#This Row],[BUYING PRIZE]]</f>
        <v>35</v>
      </c>
      <c r="M139" s="9">
        <f>InputData4[[#This Row],[QUANTITY]]*InputData4[[#This Row],[SELLING PRICE]]*(1-InputData4[[#This Row],[DISCOUNT %]])</f>
        <v>46.9</v>
      </c>
      <c r="N139" s="7">
        <f>DAY(InputData4[[#This Row],[DATE]])</f>
        <v>28</v>
      </c>
      <c r="O139" s="7">
        <f>MONTH(InputData4[[#This Row],[DATE]])</f>
        <v>6</v>
      </c>
      <c r="P139" s="7">
        <f>YEAR(InputData4[[#This Row],[DATE]])</f>
        <v>2021</v>
      </c>
    </row>
    <row r="140" spans="1:16" x14ac:dyDescent="0.3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  <c r="G140" t="str">
        <f>VLOOKUP(InputData4[[#This Row],[PRODUCT ID]],MasterData[],2,0)</f>
        <v>Product14</v>
      </c>
      <c r="H140" t="str">
        <f>VLOOKUP(InputData4[[#This Row],[PRODUCT ID]],MasterData[],3,0)</f>
        <v>Category02</v>
      </c>
      <c r="I140" t="str">
        <f>VLOOKUP(InputData4[[#This Row],[PRODUCT ID]],MasterData[],4,0)</f>
        <v>Kg</v>
      </c>
      <c r="J140" s="9">
        <f>VLOOKUP(InputData4[[#This Row],[PRODUCT ID]],MasterData[],5,0)</f>
        <v>112</v>
      </c>
      <c r="K140" s="9">
        <f>VLOOKUP(InputData4[[#This Row],[PRODUCT ID]],MasterData[],6,0)</f>
        <v>146.72</v>
      </c>
      <c r="L140" s="9">
        <f>InputData4[[#This Row],[QUANTITY]]*InputData4[[#This Row],[BUYING PRIZE]]</f>
        <v>448</v>
      </c>
      <c r="M140" s="9">
        <f>InputData4[[#This Row],[QUANTITY]]*InputData4[[#This Row],[SELLING PRICE]]*(1-InputData4[[#This Row],[DISCOUNT %]])</f>
        <v>586.88</v>
      </c>
      <c r="N140" s="7">
        <f>DAY(InputData4[[#This Row],[DATE]])</f>
        <v>29</v>
      </c>
      <c r="O140" s="7">
        <f>MONTH(InputData4[[#This Row],[DATE]])</f>
        <v>6</v>
      </c>
      <c r="P140" s="7">
        <f>YEAR(InputData4[[#This Row],[DATE]])</f>
        <v>2021</v>
      </c>
    </row>
    <row r="141" spans="1:16" x14ac:dyDescent="0.3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  <c r="G141" t="str">
        <f>VLOOKUP(InputData4[[#This Row],[PRODUCT ID]],MasterData[],2,0)</f>
        <v>Product05</v>
      </c>
      <c r="H141" t="str">
        <f>VLOOKUP(InputData4[[#This Row],[PRODUCT ID]],MasterData[],3,0)</f>
        <v>Category01</v>
      </c>
      <c r="I141" t="str">
        <f>VLOOKUP(InputData4[[#This Row],[PRODUCT ID]],MasterData[],4,0)</f>
        <v>Ft</v>
      </c>
      <c r="J141" s="9">
        <f>VLOOKUP(InputData4[[#This Row],[PRODUCT ID]],MasterData[],5,0)</f>
        <v>133</v>
      </c>
      <c r="K141" s="9">
        <f>VLOOKUP(InputData4[[#This Row],[PRODUCT ID]],MasterData[],6,0)</f>
        <v>155.61000000000001</v>
      </c>
      <c r="L141" s="9">
        <f>InputData4[[#This Row],[QUANTITY]]*InputData4[[#This Row],[BUYING PRIZE]]</f>
        <v>1463</v>
      </c>
      <c r="M141" s="9">
        <f>InputData4[[#This Row],[QUANTITY]]*InputData4[[#This Row],[SELLING PRICE]]*(1-InputData4[[#This Row],[DISCOUNT %]])</f>
        <v>1711.71</v>
      </c>
      <c r="N141" s="7">
        <f>DAY(InputData4[[#This Row],[DATE]])</f>
        <v>1</v>
      </c>
      <c r="O141" s="7">
        <f>MONTH(InputData4[[#This Row],[DATE]])</f>
        <v>7</v>
      </c>
      <c r="P141" s="7">
        <f>YEAR(InputData4[[#This Row],[DATE]])</f>
        <v>2021</v>
      </c>
    </row>
    <row r="142" spans="1:16" x14ac:dyDescent="0.3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  <c r="G142" t="str">
        <f>VLOOKUP(InputData4[[#This Row],[PRODUCT ID]],MasterData[],2,0)</f>
        <v>Product10</v>
      </c>
      <c r="H142" t="str">
        <f>VLOOKUP(InputData4[[#This Row],[PRODUCT ID]],MasterData[],3,0)</f>
        <v>Category02</v>
      </c>
      <c r="I142" t="str">
        <f>VLOOKUP(InputData4[[#This Row],[PRODUCT ID]],MasterData[],4,0)</f>
        <v>Ft</v>
      </c>
      <c r="J142" s="9">
        <f>VLOOKUP(InputData4[[#This Row],[PRODUCT ID]],MasterData[],5,0)</f>
        <v>148</v>
      </c>
      <c r="K142" s="9">
        <f>VLOOKUP(InputData4[[#This Row],[PRODUCT ID]],MasterData[],6,0)</f>
        <v>164.28</v>
      </c>
      <c r="L142" s="9">
        <f>InputData4[[#This Row],[QUANTITY]]*InputData4[[#This Row],[BUYING PRIZE]]</f>
        <v>1628</v>
      </c>
      <c r="M142" s="9">
        <f>InputData4[[#This Row],[QUANTITY]]*InputData4[[#This Row],[SELLING PRICE]]*(1-InputData4[[#This Row],[DISCOUNT %]])</f>
        <v>1807.08</v>
      </c>
      <c r="N142" s="7">
        <f>DAY(InputData4[[#This Row],[DATE]])</f>
        <v>2</v>
      </c>
      <c r="O142" s="7">
        <f>MONTH(InputData4[[#This Row],[DATE]])</f>
        <v>7</v>
      </c>
      <c r="P142" s="7">
        <f>YEAR(InputData4[[#This Row],[DATE]])</f>
        <v>2021</v>
      </c>
    </row>
    <row r="143" spans="1:16" x14ac:dyDescent="0.3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  <c r="G143" t="str">
        <f>VLOOKUP(InputData4[[#This Row],[PRODUCT ID]],MasterData[],2,0)</f>
        <v>Product33</v>
      </c>
      <c r="H143" t="str">
        <f>VLOOKUP(InputData4[[#This Row],[PRODUCT ID]],MasterData[],3,0)</f>
        <v>Category04</v>
      </c>
      <c r="I143" t="str">
        <f>VLOOKUP(InputData4[[#This Row],[PRODUCT ID]],MasterData[],4,0)</f>
        <v>Kg</v>
      </c>
      <c r="J143" s="9">
        <f>VLOOKUP(InputData4[[#This Row],[PRODUCT ID]],MasterData[],5,0)</f>
        <v>95</v>
      </c>
      <c r="K143" s="9">
        <f>VLOOKUP(InputData4[[#This Row],[PRODUCT ID]],MasterData[],6,0)</f>
        <v>119.7</v>
      </c>
      <c r="L143" s="9">
        <f>InputData4[[#This Row],[QUANTITY]]*InputData4[[#This Row],[BUYING PRIZE]]</f>
        <v>855</v>
      </c>
      <c r="M143" s="9">
        <f>InputData4[[#This Row],[QUANTITY]]*InputData4[[#This Row],[SELLING PRICE]]*(1-InputData4[[#This Row],[DISCOUNT %]])</f>
        <v>1077.3</v>
      </c>
      <c r="N143" s="7">
        <f>DAY(InputData4[[#This Row],[DATE]])</f>
        <v>3</v>
      </c>
      <c r="O143" s="7">
        <f>MONTH(InputData4[[#This Row],[DATE]])</f>
        <v>7</v>
      </c>
      <c r="P143" s="7">
        <f>YEAR(InputData4[[#This Row],[DATE]])</f>
        <v>2021</v>
      </c>
    </row>
    <row r="144" spans="1:16" x14ac:dyDescent="0.3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  <c r="G144" t="str">
        <f>VLOOKUP(InputData4[[#This Row],[PRODUCT ID]],MasterData[],2,0)</f>
        <v>Product03</v>
      </c>
      <c r="H144" t="str">
        <f>VLOOKUP(InputData4[[#This Row],[PRODUCT ID]],MasterData[],3,0)</f>
        <v>Category01</v>
      </c>
      <c r="I144" t="str">
        <f>VLOOKUP(InputData4[[#This Row],[PRODUCT ID]],MasterData[],4,0)</f>
        <v>Kg</v>
      </c>
      <c r="J144" s="9">
        <f>VLOOKUP(InputData4[[#This Row],[PRODUCT ID]],MasterData[],5,0)</f>
        <v>71</v>
      </c>
      <c r="K144" s="9">
        <f>VLOOKUP(InputData4[[#This Row],[PRODUCT ID]],MasterData[],6,0)</f>
        <v>80.94</v>
      </c>
      <c r="L144" s="9">
        <f>InputData4[[#This Row],[QUANTITY]]*InputData4[[#This Row],[BUYING PRIZE]]</f>
        <v>568</v>
      </c>
      <c r="M144" s="9">
        <f>InputData4[[#This Row],[QUANTITY]]*InputData4[[#This Row],[SELLING PRICE]]*(1-InputData4[[#This Row],[DISCOUNT %]])</f>
        <v>647.52</v>
      </c>
      <c r="N144" s="7">
        <f>DAY(InputData4[[#This Row],[DATE]])</f>
        <v>3</v>
      </c>
      <c r="O144" s="7">
        <f>MONTH(InputData4[[#This Row],[DATE]])</f>
        <v>7</v>
      </c>
      <c r="P144" s="7">
        <f>YEAR(InputData4[[#This Row],[DATE]])</f>
        <v>2021</v>
      </c>
    </row>
    <row r="145" spans="1:16" x14ac:dyDescent="0.3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  <c r="G145" t="str">
        <f>VLOOKUP(InputData4[[#This Row],[PRODUCT ID]],MasterData[],2,0)</f>
        <v>Product02</v>
      </c>
      <c r="H145" t="str">
        <f>VLOOKUP(InputData4[[#This Row],[PRODUCT ID]],MasterData[],3,0)</f>
        <v>Category01</v>
      </c>
      <c r="I145" t="str">
        <f>VLOOKUP(InputData4[[#This Row],[PRODUCT ID]],MasterData[],4,0)</f>
        <v>Kg</v>
      </c>
      <c r="J145" s="9">
        <f>VLOOKUP(InputData4[[#This Row],[PRODUCT ID]],MasterData[],5,0)</f>
        <v>105</v>
      </c>
      <c r="K145" s="9">
        <f>VLOOKUP(InputData4[[#This Row],[PRODUCT ID]],MasterData[],6,0)</f>
        <v>142.80000000000001</v>
      </c>
      <c r="L145" s="9">
        <f>InputData4[[#This Row],[QUANTITY]]*InputData4[[#This Row],[BUYING PRIZE]]</f>
        <v>840</v>
      </c>
      <c r="M145" s="9">
        <f>InputData4[[#This Row],[QUANTITY]]*InputData4[[#This Row],[SELLING PRICE]]*(1-InputData4[[#This Row],[DISCOUNT %]])</f>
        <v>1142.4000000000001</v>
      </c>
      <c r="N145" s="7">
        <f>DAY(InputData4[[#This Row],[DATE]])</f>
        <v>5</v>
      </c>
      <c r="O145" s="7">
        <f>MONTH(InputData4[[#This Row],[DATE]])</f>
        <v>7</v>
      </c>
      <c r="P145" s="7">
        <f>YEAR(InputData4[[#This Row],[DATE]])</f>
        <v>2021</v>
      </c>
    </row>
    <row r="146" spans="1:16" x14ac:dyDescent="0.3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  <c r="G146" t="str">
        <f>VLOOKUP(InputData4[[#This Row],[PRODUCT ID]],MasterData[],2,0)</f>
        <v>Product41</v>
      </c>
      <c r="H146" t="str">
        <f>VLOOKUP(InputData4[[#This Row],[PRODUCT ID]],MasterData[],3,0)</f>
        <v>Category05</v>
      </c>
      <c r="I146" t="str">
        <f>VLOOKUP(InputData4[[#This Row],[PRODUCT ID]],MasterData[],4,0)</f>
        <v>Ft</v>
      </c>
      <c r="J146" s="9">
        <f>VLOOKUP(InputData4[[#This Row],[PRODUCT ID]],MasterData[],5,0)</f>
        <v>138</v>
      </c>
      <c r="K146" s="9">
        <f>VLOOKUP(InputData4[[#This Row],[PRODUCT ID]],MasterData[],6,0)</f>
        <v>173.88</v>
      </c>
      <c r="L146" s="9">
        <f>InputData4[[#This Row],[QUANTITY]]*InputData4[[#This Row],[BUYING PRIZE]]</f>
        <v>2070</v>
      </c>
      <c r="M146" s="9">
        <f>InputData4[[#This Row],[QUANTITY]]*InputData4[[#This Row],[SELLING PRICE]]*(1-InputData4[[#This Row],[DISCOUNT %]])</f>
        <v>2608.1999999999998</v>
      </c>
      <c r="N146" s="7">
        <f>DAY(InputData4[[#This Row],[DATE]])</f>
        <v>6</v>
      </c>
      <c r="O146" s="7">
        <f>MONTH(InputData4[[#This Row],[DATE]])</f>
        <v>7</v>
      </c>
      <c r="P146" s="7">
        <f>YEAR(InputData4[[#This Row],[DATE]])</f>
        <v>2021</v>
      </c>
    </row>
    <row r="147" spans="1:16" x14ac:dyDescent="0.3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  <c r="G147" t="str">
        <f>VLOOKUP(InputData4[[#This Row],[PRODUCT ID]],MasterData[],2,0)</f>
        <v>Product04</v>
      </c>
      <c r="H147" t="str">
        <f>VLOOKUP(InputData4[[#This Row],[PRODUCT ID]],MasterData[],3,0)</f>
        <v>Category01</v>
      </c>
      <c r="I147" t="str">
        <f>VLOOKUP(InputData4[[#This Row],[PRODUCT ID]],MasterData[],4,0)</f>
        <v>Lt</v>
      </c>
      <c r="J147" s="9">
        <f>VLOOKUP(InputData4[[#This Row],[PRODUCT ID]],MasterData[],5,0)</f>
        <v>44</v>
      </c>
      <c r="K147" s="9">
        <f>VLOOKUP(InputData4[[#This Row],[PRODUCT ID]],MasterData[],6,0)</f>
        <v>48.84</v>
      </c>
      <c r="L147" s="9">
        <f>InputData4[[#This Row],[QUANTITY]]*InputData4[[#This Row],[BUYING PRIZE]]</f>
        <v>440</v>
      </c>
      <c r="M147" s="9">
        <f>InputData4[[#This Row],[QUANTITY]]*InputData4[[#This Row],[SELLING PRICE]]*(1-InputData4[[#This Row],[DISCOUNT %]])</f>
        <v>488.40000000000003</v>
      </c>
      <c r="N147" s="7">
        <f>DAY(InputData4[[#This Row],[DATE]])</f>
        <v>8</v>
      </c>
      <c r="O147" s="7">
        <f>MONTH(InputData4[[#This Row],[DATE]])</f>
        <v>7</v>
      </c>
      <c r="P147" s="7">
        <f>YEAR(InputData4[[#This Row],[DATE]])</f>
        <v>2021</v>
      </c>
    </row>
    <row r="148" spans="1:16" x14ac:dyDescent="0.3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  <c r="G148" t="str">
        <f>VLOOKUP(InputData4[[#This Row],[PRODUCT ID]],MasterData[],2,0)</f>
        <v>Product34</v>
      </c>
      <c r="H148" t="str">
        <f>VLOOKUP(InputData4[[#This Row],[PRODUCT ID]],MasterData[],3,0)</f>
        <v>Category04</v>
      </c>
      <c r="I148" t="str">
        <f>VLOOKUP(InputData4[[#This Row],[PRODUCT ID]],MasterData[],4,0)</f>
        <v>Lt</v>
      </c>
      <c r="J148" s="9">
        <f>VLOOKUP(InputData4[[#This Row],[PRODUCT ID]],MasterData[],5,0)</f>
        <v>55</v>
      </c>
      <c r="K148" s="9">
        <f>VLOOKUP(InputData4[[#This Row],[PRODUCT ID]],MasterData[],6,0)</f>
        <v>58.3</v>
      </c>
      <c r="L148" s="9">
        <f>InputData4[[#This Row],[QUANTITY]]*InputData4[[#This Row],[BUYING PRIZE]]</f>
        <v>330</v>
      </c>
      <c r="M148" s="9">
        <f>InputData4[[#This Row],[QUANTITY]]*InputData4[[#This Row],[SELLING PRICE]]*(1-InputData4[[#This Row],[DISCOUNT %]])</f>
        <v>349.79999999999995</v>
      </c>
      <c r="N148" s="7">
        <f>DAY(InputData4[[#This Row],[DATE]])</f>
        <v>10</v>
      </c>
      <c r="O148" s="7">
        <f>MONTH(InputData4[[#This Row],[DATE]])</f>
        <v>7</v>
      </c>
      <c r="P148" s="7">
        <f>YEAR(InputData4[[#This Row],[DATE]])</f>
        <v>2021</v>
      </c>
    </row>
    <row r="149" spans="1:16" x14ac:dyDescent="0.3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  <c r="G149" t="str">
        <f>VLOOKUP(InputData4[[#This Row],[PRODUCT ID]],MasterData[],2,0)</f>
        <v>Product09</v>
      </c>
      <c r="H149" t="str">
        <f>VLOOKUP(InputData4[[#This Row],[PRODUCT ID]],MasterData[],3,0)</f>
        <v>Category01</v>
      </c>
      <c r="I149" t="str">
        <f>VLOOKUP(InputData4[[#This Row],[PRODUCT ID]],MasterData[],4,0)</f>
        <v>No.</v>
      </c>
      <c r="J149" s="9">
        <f>VLOOKUP(InputData4[[#This Row],[PRODUCT ID]],MasterData[],5,0)</f>
        <v>6</v>
      </c>
      <c r="K149" s="9">
        <f>VLOOKUP(InputData4[[#This Row],[PRODUCT ID]],MasterData[],6,0)</f>
        <v>7.8599999999999994</v>
      </c>
      <c r="L149" s="9">
        <f>InputData4[[#This Row],[QUANTITY]]*InputData4[[#This Row],[BUYING PRIZE]]</f>
        <v>24</v>
      </c>
      <c r="M149" s="9">
        <f>InputData4[[#This Row],[QUANTITY]]*InputData4[[#This Row],[SELLING PRICE]]*(1-InputData4[[#This Row],[DISCOUNT %]])</f>
        <v>31.439999999999998</v>
      </c>
      <c r="N149" s="7">
        <f>DAY(InputData4[[#This Row],[DATE]])</f>
        <v>11</v>
      </c>
      <c r="O149" s="7">
        <f>MONTH(InputData4[[#This Row],[DATE]])</f>
        <v>7</v>
      </c>
      <c r="P149" s="7">
        <f>YEAR(InputData4[[#This Row],[DATE]])</f>
        <v>2021</v>
      </c>
    </row>
    <row r="150" spans="1:16" x14ac:dyDescent="0.3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  <c r="G150" t="str">
        <f>VLOOKUP(InputData4[[#This Row],[PRODUCT ID]],MasterData[],2,0)</f>
        <v>Product19</v>
      </c>
      <c r="H150" t="str">
        <f>VLOOKUP(InputData4[[#This Row],[PRODUCT ID]],MasterData[],3,0)</f>
        <v>Category02</v>
      </c>
      <c r="I150" t="str">
        <f>VLOOKUP(InputData4[[#This Row],[PRODUCT ID]],MasterData[],4,0)</f>
        <v>Ft</v>
      </c>
      <c r="J150" s="9">
        <f>VLOOKUP(InputData4[[#This Row],[PRODUCT ID]],MasterData[],5,0)</f>
        <v>150</v>
      </c>
      <c r="K150" s="9">
        <f>VLOOKUP(InputData4[[#This Row],[PRODUCT ID]],MasterData[],6,0)</f>
        <v>210</v>
      </c>
      <c r="L150" s="9">
        <f>InputData4[[#This Row],[QUANTITY]]*InputData4[[#This Row],[BUYING PRIZE]]</f>
        <v>150</v>
      </c>
      <c r="M150" s="9">
        <f>InputData4[[#This Row],[QUANTITY]]*InputData4[[#This Row],[SELLING PRICE]]*(1-InputData4[[#This Row],[DISCOUNT %]])</f>
        <v>210</v>
      </c>
      <c r="N150" s="7">
        <f>DAY(InputData4[[#This Row],[DATE]])</f>
        <v>13</v>
      </c>
      <c r="O150" s="7">
        <f>MONTH(InputData4[[#This Row],[DATE]])</f>
        <v>7</v>
      </c>
      <c r="P150" s="7">
        <f>YEAR(InputData4[[#This Row],[DATE]])</f>
        <v>2021</v>
      </c>
    </row>
    <row r="151" spans="1:16" x14ac:dyDescent="0.3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  <c r="G151" t="str">
        <f>VLOOKUP(InputData4[[#This Row],[PRODUCT ID]],MasterData[],2,0)</f>
        <v>Product23</v>
      </c>
      <c r="H151" t="str">
        <f>VLOOKUP(InputData4[[#This Row],[PRODUCT ID]],MasterData[],3,0)</f>
        <v>Category03</v>
      </c>
      <c r="I151" t="str">
        <f>VLOOKUP(InputData4[[#This Row],[PRODUCT ID]],MasterData[],4,0)</f>
        <v>Ft</v>
      </c>
      <c r="J151" s="9">
        <f>VLOOKUP(InputData4[[#This Row],[PRODUCT ID]],MasterData[],5,0)</f>
        <v>141</v>
      </c>
      <c r="K151" s="9">
        <f>VLOOKUP(InputData4[[#This Row],[PRODUCT ID]],MasterData[],6,0)</f>
        <v>149.46</v>
      </c>
      <c r="L151" s="9">
        <f>InputData4[[#This Row],[QUANTITY]]*InputData4[[#This Row],[BUYING PRIZE]]</f>
        <v>1128</v>
      </c>
      <c r="M151" s="9">
        <f>InputData4[[#This Row],[QUANTITY]]*InputData4[[#This Row],[SELLING PRICE]]*(1-InputData4[[#This Row],[DISCOUNT %]])</f>
        <v>1195.68</v>
      </c>
      <c r="N151" s="7">
        <f>DAY(InputData4[[#This Row],[DATE]])</f>
        <v>16</v>
      </c>
      <c r="O151" s="7">
        <f>MONTH(InputData4[[#This Row],[DATE]])</f>
        <v>7</v>
      </c>
      <c r="P151" s="7">
        <f>YEAR(InputData4[[#This Row],[DATE]])</f>
        <v>2021</v>
      </c>
    </row>
    <row r="152" spans="1:16" x14ac:dyDescent="0.3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  <c r="G152" t="str">
        <f>VLOOKUP(InputData4[[#This Row],[PRODUCT ID]],MasterData[],2,0)</f>
        <v>Product27</v>
      </c>
      <c r="H152" t="str">
        <f>VLOOKUP(InputData4[[#This Row],[PRODUCT ID]],MasterData[],3,0)</f>
        <v>Category04</v>
      </c>
      <c r="I152" t="str">
        <f>VLOOKUP(InputData4[[#This Row],[PRODUCT ID]],MasterData[],4,0)</f>
        <v>Lt</v>
      </c>
      <c r="J152" s="9">
        <f>VLOOKUP(InputData4[[#This Row],[PRODUCT ID]],MasterData[],5,0)</f>
        <v>48</v>
      </c>
      <c r="K152" s="9">
        <f>VLOOKUP(InputData4[[#This Row],[PRODUCT ID]],MasterData[],6,0)</f>
        <v>57.120000000000005</v>
      </c>
      <c r="L152" s="9">
        <f>InputData4[[#This Row],[QUANTITY]]*InputData4[[#This Row],[BUYING PRIZE]]</f>
        <v>672</v>
      </c>
      <c r="M152" s="9">
        <f>InputData4[[#This Row],[QUANTITY]]*InputData4[[#This Row],[SELLING PRICE]]*(1-InputData4[[#This Row],[DISCOUNT %]])</f>
        <v>799.68000000000006</v>
      </c>
      <c r="N152" s="7">
        <f>DAY(InputData4[[#This Row],[DATE]])</f>
        <v>18</v>
      </c>
      <c r="O152" s="7">
        <f>MONTH(InputData4[[#This Row],[DATE]])</f>
        <v>7</v>
      </c>
      <c r="P152" s="7">
        <f>YEAR(InputData4[[#This Row],[DATE]])</f>
        <v>2021</v>
      </c>
    </row>
    <row r="153" spans="1:16" x14ac:dyDescent="0.3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  <c r="G153" t="str">
        <f>VLOOKUP(InputData4[[#This Row],[PRODUCT ID]],MasterData[],2,0)</f>
        <v>Product38</v>
      </c>
      <c r="H153" t="str">
        <f>VLOOKUP(InputData4[[#This Row],[PRODUCT ID]],MasterData[],3,0)</f>
        <v>Category05</v>
      </c>
      <c r="I153" t="str">
        <f>VLOOKUP(InputData4[[#This Row],[PRODUCT ID]],MasterData[],4,0)</f>
        <v>Kg</v>
      </c>
      <c r="J153" s="9">
        <f>VLOOKUP(InputData4[[#This Row],[PRODUCT ID]],MasterData[],5,0)</f>
        <v>72</v>
      </c>
      <c r="K153" s="9">
        <f>VLOOKUP(InputData4[[#This Row],[PRODUCT ID]],MasterData[],6,0)</f>
        <v>79.92</v>
      </c>
      <c r="L153" s="9">
        <f>InputData4[[#This Row],[QUANTITY]]*InputData4[[#This Row],[BUYING PRIZE]]</f>
        <v>792</v>
      </c>
      <c r="M153" s="9">
        <f>InputData4[[#This Row],[QUANTITY]]*InputData4[[#This Row],[SELLING PRICE]]*(1-InputData4[[#This Row],[DISCOUNT %]])</f>
        <v>879.12</v>
      </c>
      <c r="N153" s="7">
        <f>DAY(InputData4[[#This Row],[DATE]])</f>
        <v>20</v>
      </c>
      <c r="O153" s="7">
        <f>MONTH(InputData4[[#This Row],[DATE]])</f>
        <v>7</v>
      </c>
      <c r="P153" s="7">
        <f>YEAR(InputData4[[#This Row],[DATE]])</f>
        <v>2021</v>
      </c>
    </row>
    <row r="154" spans="1:16" x14ac:dyDescent="0.3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  <c r="G154" t="str">
        <f>VLOOKUP(InputData4[[#This Row],[PRODUCT ID]],MasterData[],2,0)</f>
        <v>Product43</v>
      </c>
      <c r="H154" t="str">
        <f>VLOOKUP(InputData4[[#This Row],[PRODUCT ID]],MasterData[],3,0)</f>
        <v>Category05</v>
      </c>
      <c r="I154" t="str">
        <f>VLOOKUP(InputData4[[#This Row],[PRODUCT ID]],MasterData[],4,0)</f>
        <v>Kg</v>
      </c>
      <c r="J154" s="9">
        <f>VLOOKUP(InputData4[[#This Row],[PRODUCT ID]],MasterData[],5,0)</f>
        <v>67</v>
      </c>
      <c r="K154" s="9">
        <f>VLOOKUP(InputData4[[#This Row],[PRODUCT ID]],MasterData[],6,0)</f>
        <v>83.08</v>
      </c>
      <c r="L154" s="9">
        <f>InputData4[[#This Row],[QUANTITY]]*InputData4[[#This Row],[BUYING PRIZE]]</f>
        <v>335</v>
      </c>
      <c r="M154" s="9">
        <f>InputData4[[#This Row],[QUANTITY]]*InputData4[[#This Row],[SELLING PRICE]]*(1-InputData4[[#This Row],[DISCOUNT %]])</f>
        <v>415.4</v>
      </c>
      <c r="N154" s="7">
        <f>DAY(InputData4[[#This Row],[DATE]])</f>
        <v>20</v>
      </c>
      <c r="O154" s="7">
        <f>MONTH(InputData4[[#This Row],[DATE]])</f>
        <v>7</v>
      </c>
      <c r="P154" s="7">
        <f>YEAR(InputData4[[#This Row],[DATE]])</f>
        <v>2021</v>
      </c>
    </row>
    <row r="155" spans="1:16" x14ac:dyDescent="0.3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  <c r="G155" t="str">
        <f>VLOOKUP(InputData4[[#This Row],[PRODUCT ID]],MasterData[],2,0)</f>
        <v>Product29</v>
      </c>
      <c r="H155" t="str">
        <f>VLOOKUP(InputData4[[#This Row],[PRODUCT ID]],MasterData[],3,0)</f>
        <v>Category04</v>
      </c>
      <c r="I155" t="str">
        <f>VLOOKUP(InputData4[[#This Row],[PRODUCT ID]],MasterData[],4,0)</f>
        <v>Lt</v>
      </c>
      <c r="J155" s="9">
        <f>VLOOKUP(InputData4[[#This Row],[PRODUCT ID]],MasterData[],5,0)</f>
        <v>47</v>
      </c>
      <c r="K155" s="9">
        <f>VLOOKUP(InputData4[[#This Row],[PRODUCT ID]],MasterData[],6,0)</f>
        <v>53.11</v>
      </c>
      <c r="L155" s="9">
        <f>InputData4[[#This Row],[QUANTITY]]*InputData4[[#This Row],[BUYING PRIZE]]</f>
        <v>705</v>
      </c>
      <c r="M155" s="9">
        <f>InputData4[[#This Row],[QUANTITY]]*InputData4[[#This Row],[SELLING PRICE]]*(1-InputData4[[#This Row],[DISCOUNT %]])</f>
        <v>796.65</v>
      </c>
      <c r="N155" s="7">
        <f>DAY(InputData4[[#This Row],[DATE]])</f>
        <v>21</v>
      </c>
      <c r="O155" s="7">
        <f>MONTH(InputData4[[#This Row],[DATE]])</f>
        <v>7</v>
      </c>
      <c r="P155" s="7">
        <f>YEAR(InputData4[[#This Row],[DATE]])</f>
        <v>2021</v>
      </c>
    </row>
    <row r="156" spans="1:16" x14ac:dyDescent="0.3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  <c r="G156" t="str">
        <f>VLOOKUP(InputData4[[#This Row],[PRODUCT ID]],MasterData[],2,0)</f>
        <v>Product26</v>
      </c>
      <c r="H156" t="str">
        <f>VLOOKUP(InputData4[[#This Row],[PRODUCT ID]],MasterData[],3,0)</f>
        <v>Category04</v>
      </c>
      <c r="I156" t="str">
        <f>VLOOKUP(InputData4[[#This Row],[PRODUCT ID]],MasterData[],4,0)</f>
        <v>No.</v>
      </c>
      <c r="J156" s="9">
        <f>VLOOKUP(InputData4[[#This Row],[PRODUCT ID]],MasterData[],5,0)</f>
        <v>18</v>
      </c>
      <c r="K156" s="9">
        <f>VLOOKUP(InputData4[[#This Row],[PRODUCT ID]],MasterData[],6,0)</f>
        <v>24.66</v>
      </c>
      <c r="L156" s="9">
        <f>InputData4[[#This Row],[QUANTITY]]*InputData4[[#This Row],[BUYING PRIZE]]</f>
        <v>54</v>
      </c>
      <c r="M156" s="9">
        <f>InputData4[[#This Row],[QUANTITY]]*InputData4[[#This Row],[SELLING PRICE]]*(1-InputData4[[#This Row],[DISCOUNT %]])</f>
        <v>73.98</v>
      </c>
      <c r="N156" s="7">
        <f>DAY(InputData4[[#This Row],[DATE]])</f>
        <v>22</v>
      </c>
      <c r="O156" s="7">
        <f>MONTH(InputData4[[#This Row],[DATE]])</f>
        <v>7</v>
      </c>
      <c r="P156" s="7">
        <f>YEAR(InputData4[[#This Row],[DATE]])</f>
        <v>2021</v>
      </c>
    </row>
    <row r="157" spans="1:16" x14ac:dyDescent="0.3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  <c r="G157" t="str">
        <f>VLOOKUP(InputData4[[#This Row],[PRODUCT ID]],MasterData[],2,0)</f>
        <v>Product24</v>
      </c>
      <c r="H157" t="str">
        <f>VLOOKUP(InputData4[[#This Row],[PRODUCT ID]],MasterData[],3,0)</f>
        <v>Category03</v>
      </c>
      <c r="I157" t="str">
        <f>VLOOKUP(InputData4[[#This Row],[PRODUCT ID]],MasterData[],4,0)</f>
        <v>Ft</v>
      </c>
      <c r="J157" s="9">
        <f>VLOOKUP(InputData4[[#This Row],[PRODUCT ID]],MasterData[],5,0)</f>
        <v>144</v>
      </c>
      <c r="K157" s="9">
        <f>VLOOKUP(InputData4[[#This Row],[PRODUCT ID]],MasterData[],6,0)</f>
        <v>156.96</v>
      </c>
      <c r="L157" s="9">
        <f>InputData4[[#This Row],[QUANTITY]]*InputData4[[#This Row],[BUYING PRIZE]]</f>
        <v>2016</v>
      </c>
      <c r="M157" s="9">
        <f>InputData4[[#This Row],[QUANTITY]]*InputData4[[#This Row],[SELLING PRICE]]*(1-InputData4[[#This Row],[DISCOUNT %]])</f>
        <v>2197.44</v>
      </c>
      <c r="N157" s="7">
        <f>DAY(InputData4[[#This Row],[DATE]])</f>
        <v>22</v>
      </c>
      <c r="O157" s="7">
        <f>MONTH(InputData4[[#This Row],[DATE]])</f>
        <v>7</v>
      </c>
      <c r="P157" s="7">
        <f>YEAR(InputData4[[#This Row],[DATE]])</f>
        <v>2021</v>
      </c>
    </row>
    <row r="158" spans="1:16" x14ac:dyDescent="0.3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  <c r="G158" t="str">
        <f>VLOOKUP(InputData4[[#This Row],[PRODUCT ID]],MasterData[],2,0)</f>
        <v>Product36</v>
      </c>
      <c r="H158" t="str">
        <f>VLOOKUP(InputData4[[#This Row],[PRODUCT ID]],MasterData[],3,0)</f>
        <v>Category04</v>
      </c>
      <c r="I158" t="str">
        <f>VLOOKUP(InputData4[[#This Row],[PRODUCT ID]],MasterData[],4,0)</f>
        <v>Kg</v>
      </c>
      <c r="J158" s="9">
        <f>VLOOKUP(InputData4[[#This Row],[PRODUCT ID]],MasterData[],5,0)</f>
        <v>90</v>
      </c>
      <c r="K158" s="9">
        <f>VLOOKUP(InputData4[[#This Row],[PRODUCT ID]],MasterData[],6,0)</f>
        <v>96.3</v>
      </c>
      <c r="L158" s="9">
        <f>InputData4[[#This Row],[QUANTITY]]*InputData4[[#This Row],[BUYING PRIZE]]</f>
        <v>630</v>
      </c>
      <c r="M158" s="9">
        <f>InputData4[[#This Row],[QUANTITY]]*InputData4[[#This Row],[SELLING PRICE]]*(1-InputData4[[#This Row],[DISCOUNT %]])</f>
        <v>674.1</v>
      </c>
      <c r="N158" s="7">
        <f>DAY(InputData4[[#This Row],[DATE]])</f>
        <v>23</v>
      </c>
      <c r="O158" s="7">
        <f>MONTH(InputData4[[#This Row],[DATE]])</f>
        <v>7</v>
      </c>
      <c r="P158" s="7">
        <f>YEAR(InputData4[[#This Row],[DATE]])</f>
        <v>2021</v>
      </c>
    </row>
    <row r="159" spans="1:16" x14ac:dyDescent="0.3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  <c r="G159" t="str">
        <f>VLOOKUP(InputData4[[#This Row],[PRODUCT ID]],MasterData[],2,0)</f>
        <v>Product37</v>
      </c>
      <c r="H159" t="str">
        <f>VLOOKUP(InputData4[[#This Row],[PRODUCT ID]],MasterData[],3,0)</f>
        <v>Category05</v>
      </c>
      <c r="I159" t="str">
        <f>VLOOKUP(InputData4[[#This Row],[PRODUCT ID]],MasterData[],4,0)</f>
        <v>Kg</v>
      </c>
      <c r="J159" s="9">
        <f>VLOOKUP(InputData4[[#This Row],[PRODUCT ID]],MasterData[],5,0)</f>
        <v>67</v>
      </c>
      <c r="K159" s="9">
        <f>VLOOKUP(InputData4[[#This Row],[PRODUCT ID]],MasterData[],6,0)</f>
        <v>85.76</v>
      </c>
      <c r="L159" s="9">
        <f>InputData4[[#This Row],[QUANTITY]]*InputData4[[#This Row],[BUYING PRIZE]]</f>
        <v>536</v>
      </c>
      <c r="M159" s="9">
        <f>InputData4[[#This Row],[QUANTITY]]*InputData4[[#This Row],[SELLING PRICE]]*(1-InputData4[[#This Row],[DISCOUNT %]])</f>
        <v>686.08</v>
      </c>
      <c r="N159" s="7">
        <f>DAY(InputData4[[#This Row],[DATE]])</f>
        <v>23</v>
      </c>
      <c r="O159" s="7">
        <f>MONTH(InputData4[[#This Row],[DATE]])</f>
        <v>7</v>
      </c>
      <c r="P159" s="7">
        <f>YEAR(InputData4[[#This Row],[DATE]])</f>
        <v>2021</v>
      </c>
    </row>
    <row r="160" spans="1:16" x14ac:dyDescent="0.3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  <c r="G160" t="str">
        <f>VLOOKUP(InputData4[[#This Row],[PRODUCT ID]],MasterData[],2,0)</f>
        <v>Product09</v>
      </c>
      <c r="H160" t="str">
        <f>VLOOKUP(InputData4[[#This Row],[PRODUCT ID]],MasterData[],3,0)</f>
        <v>Category01</v>
      </c>
      <c r="I160" t="str">
        <f>VLOOKUP(InputData4[[#This Row],[PRODUCT ID]],MasterData[],4,0)</f>
        <v>No.</v>
      </c>
      <c r="J160" s="9">
        <f>VLOOKUP(InputData4[[#This Row],[PRODUCT ID]],MasterData[],5,0)</f>
        <v>6</v>
      </c>
      <c r="K160" s="9">
        <f>VLOOKUP(InputData4[[#This Row],[PRODUCT ID]],MasterData[],6,0)</f>
        <v>7.8599999999999994</v>
      </c>
      <c r="L160" s="9">
        <f>InputData4[[#This Row],[QUANTITY]]*InputData4[[#This Row],[BUYING PRIZE]]</f>
        <v>24</v>
      </c>
      <c r="M160" s="9">
        <f>InputData4[[#This Row],[QUANTITY]]*InputData4[[#This Row],[SELLING PRICE]]*(1-InputData4[[#This Row],[DISCOUNT %]])</f>
        <v>31.439999999999998</v>
      </c>
      <c r="N160" s="7">
        <f>DAY(InputData4[[#This Row],[DATE]])</f>
        <v>24</v>
      </c>
      <c r="O160" s="7">
        <f>MONTH(InputData4[[#This Row],[DATE]])</f>
        <v>7</v>
      </c>
      <c r="P160" s="7">
        <f>YEAR(InputData4[[#This Row],[DATE]])</f>
        <v>2021</v>
      </c>
    </row>
    <row r="161" spans="1:16" x14ac:dyDescent="0.3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  <c r="G161" t="str">
        <f>VLOOKUP(InputData4[[#This Row],[PRODUCT ID]],MasterData[],2,0)</f>
        <v>Product44</v>
      </c>
      <c r="H161" t="str">
        <f>VLOOKUP(InputData4[[#This Row],[PRODUCT ID]],MasterData[],3,0)</f>
        <v>Category05</v>
      </c>
      <c r="I161" t="str">
        <f>VLOOKUP(InputData4[[#This Row],[PRODUCT ID]],MasterData[],4,0)</f>
        <v>Kg</v>
      </c>
      <c r="J161" s="9">
        <f>VLOOKUP(InputData4[[#This Row],[PRODUCT ID]],MasterData[],5,0)</f>
        <v>76</v>
      </c>
      <c r="K161" s="9">
        <f>VLOOKUP(InputData4[[#This Row],[PRODUCT ID]],MasterData[],6,0)</f>
        <v>82.08</v>
      </c>
      <c r="L161" s="9">
        <f>InputData4[[#This Row],[QUANTITY]]*InputData4[[#This Row],[BUYING PRIZE]]</f>
        <v>1140</v>
      </c>
      <c r="M161" s="9">
        <f>InputData4[[#This Row],[QUANTITY]]*InputData4[[#This Row],[SELLING PRICE]]*(1-InputData4[[#This Row],[DISCOUNT %]])</f>
        <v>1231.2</v>
      </c>
      <c r="N161" s="7">
        <f>DAY(InputData4[[#This Row],[DATE]])</f>
        <v>29</v>
      </c>
      <c r="O161" s="7">
        <f>MONTH(InputData4[[#This Row],[DATE]])</f>
        <v>7</v>
      </c>
      <c r="P161" s="7">
        <f>YEAR(InputData4[[#This Row],[DATE]])</f>
        <v>2021</v>
      </c>
    </row>
    <row r="162" spans="1:16" x14ac:dyDescent="0.3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  <c r="G162" t="str">
        <f>VLOOKUP(InputData4[[#This Row],[PRODUCT ID]],MasterData[],2,0)</f>
        <v>Product01</v>
      </c>
      <c r="H162" t="str">
        <f>VLOOKUP(InputData4[[#This Row],[PRODUCT ID]],MasterData[],3,0)</f>
        <v>Category01</v>
      </c>
      <c r="I162" t="str">
        <f>VLOOKUP(InputData4[[#This Row],[PRODUCT ID]],MasterData[],4,0)</f>
        <v>Kg</v>
      </c>
      <c r="J162" s="9">
        <f>VLOOKUP(InputData4[[#This Row],[PRODUCT ID]],MasterData[],5,0)</f>
        <v>98</v>
      </c>
      <c r="K162" s="9">
        <f>VLOOKUP(InputData4[[#This Row],[PRODUCT ID]],MasterData[],6,0)</f>
        <v>103.88</v>
      </c>
      <c r="L162" s="9">
        <f>InputData4[[#This Row],[QUANTITY]]*InputData4[[#This Row],[BUYING PRIZE]]</f>
        <v>1078</v>
      </c>
      <c r="M162" s="9">
        <f>InputData4[[#This Row],[QUANTITY]]*InputData4[[#This Row],[SELLING PRICE]]*(1-InputData4[[#This Row],[DISCOUNT %]])</f>
        <v>1142.6799999999998</v>
      </c>
      <c r="N162" s="7">
        <f>DAY(InputData4[[#This Row],[DATE]])</f>
        <v>1</v>
      </c>
      <c r="O162" s="7">
        <f>MONTH(InputData4[[#This Row],[DATE]])</f>
        <v>8</v>
      </c>
      <c r="P162" s="7">
        <f>YEAR(InputData4[[#This Row],[DATE]])</f>
        <v>2021</v>
      </c>
    </row>
    <row r="163" spans="1:16" x14ac:dyDescent="0.3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  <c r="G163" t="str">
        <f>VLOOKUP(InputData4[[#This Row],[PRODUCT ID]],MasterData[],2,0)</f>
        <v>Product23</v>
      </c>
      <c r="H163" t="str">
        <f>VLOOKUP(InputData4[[#This Row],[PRODUCT ID]],MasterData[],3,0)</f>
        <v>Category03</v>
      </c>
      <c r="I163" t="str">
        <f>VLOOKUP(InputData4[[#This Row],[PRODUCT ID]],MasterData[],4,0)</f>
        <v>Ft</v>
      </c>
      <c r="J163" s="9">
        <f>VLOOKUP(InputData4[[#This Row],[PRODUCT ID]],MasterData[],5,0)</f>
        <v>141</v>
      </c>
      <c r="K163" s="9">
        <f>VLOOKUP(InputData4[[#This Row],[PRODUCT ID]],MasterData[],6,0)</f>
        <v>149.46</v>
      </c>
      <c r="L163" s="9">
        <f>InputData4[[#This Row],[QUANTITY]]*InputData4[[#This Row],[BUYING PRIZE]]</f>
        <v>423</v>
      </c>
      <c r="M163" s="9">
        <f>InputData4[[#This Row],[QUANTITY]]*InputData4[[#This Row],[SELLING PRICE]]*(1-InputData4[[#This Row],[DISCOUNT %]])</f>
        <v>448.38</v>
      </c>
      <c r="N163" s="7">
        <f>DAY(InputData4[[#This Row],[DATE]])</f>
        <v>2</v>
      </c>
      <c r="O163" s="7">
        <f>MONTH(InputData4[[#This Row],[DATE]])</f>
        <v>8</v>
      </c>
      <c r="P163" s="7">
        <f>YEAR(InputData4[[#This Row],[DATE]])</f>
        <v>2021</v>
      </c>
    </row>
    <row r="164" spans="1:16" x14ac:dyDescent="0.3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  <c r="G164" t="str">
        <f>VLOOKUP(InputData4[[#This Row],[PRODUCT ID]],MasterData[],2,0)</f>
        <v>Product22</v>
      </c>
      <c r="H164" t="str">
        <f>VLOOKUP(InputData4[[#This Row],[PRODUCT ID]],MasterData[],3,0)</f>
        <v>Category03</v>
      </c>
      <c r="I164" t="str">
        <f>VLOOKUP(InputData4[[#This Row],[PRODUCT ID]],MasterData[],4,0)</f>
        <v>Ft</v>
      </c>
      <c r="J164" s="9">
        <f>VLOOKUP(InputData4[[#This Row],[PRODUCT ID]],MasterData[],5,0)</f>
        <v>121</v>
      </c>
      <c r="K164" s="9">
        <f>VLOOKUP(InputData4[[#This Row],[PRODUCT ID]],MasterData[],6,0)</f>
        <v>141.57</v>
      </c>
      <c r="L164" s="9">
        <f>InputData4[[#This Row],[QUANTITY]]*InputData4[[#This Row],[BUYING PRIZE]]</f>
        <v>1573</v>
      </c>
      <c r="M164" s="9">
        <f>InputData4[[#This Row],[QUANTITY]]*InputData4[[#This Row],[SELLING PRICE]]*(1-InputData4[[#This Row],[DISCOUNT %]])</f>
        <v>1840.4099999999999</v>
      </c>
      <c r="N164" s="7">
        <f>DAY(InputData4[[#This Row],[DATE]])</f>
        <v>3</v>
      </c>
      <c r="O164" s="7">
        <f>MONTH(InputData4[[#This Row],[DATE]])</f>
        <v>8</v>
      </c>
      <c r="P164" s="7">
        <f>YEAR(InputData4[[#This Row],[DATE]])</f>
        <v>2021</v>
      </c>
    </row>
    <row r="165" spans="1:16" x14ac:dyDescent="0.3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  <c r="G165" t="str">
        <f>VLOOKUP(InputData4[[#This Row],[PRODUCT ID]],MasterData[],2,0)</f>
        <v>Product34</v>
      </c>
      <c r="H165" t="str">
        <f>VLOOKUP(InputData4[[#This Row],[PRODUCT ID]],MasterData[],3,0)</f>
        <v>Category04</v>
      </c>
      <c r="I165" t="str">
        <f>VLOOKUP(InputData4[[#This Row],[PRODUCT ID]],MasterData[],4,0)</f>
        <v>Lt</v>
      </c>
      <c r="J165" s="9">
        <f>VLOOKUP(InputData4[[#This Row],[PRODUCT ID]],MasterData[],5,0)</f>
        <v>55</v>
      </c>
      <c r="K165" s="9">
        <f>VLOOKUP(InputData4[[#This Row],[PRODUCT ID]],MasterData[],6,0)</f>
        <v>58.3</v>
      </c>
      <c r="L165" s="9">
        <f>InputData4[[#This Row],[QUANTITY]]*InputData4[[#This Row],[BUYING PRIZE]]</f>
        <v>660</v>
      </c>
      <c r="M165" s="9">
        <f>InputData4[[#This Row],[QUANTITY]]*InputData4[[#This Row],[SELLING PRICE]]*(1-InputData4[[#This Row],[DISCOUNT %]])</f>
        <v>699.59999999999991</v>
      </c>
      <c r="N165" s="7">
        <f>DAY(InputData4[[#This Row],[DATE]])</f>
        <v>3</v>
      </c>
      <c r="O165" s="7">
        <f>MONTH(InputData4[[#This Row],[DATE]])</f>
        <v>8</v>
      </c>
      <c r="P165" s="7">
        <f>YEAR(InputData4[[#This Row],[DATE]])</f>
        <v>2021</v>
      </c>
    </row>
    <row r="166" spans="1:16" x14ac:dyDescent="0.3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  <c r="G166" t="str">
        <f>VLOOKUP(InputData4[[#This Row],[PRODUCT ID]],MasterData[],2,0)</f>
        <v>Product28</v>
      </c>
      <c r="H166" t="str">
        <f>VLOOKUP(InputData4[[#This Row],[PRODUCT ID]],MasterData[],3,0)</f>
        <v>Category04</v>
      </c>
      <c r="I166" t="str">
        <f>VLOOKUP(InputData4[[#This Row],[PRODUCT ID]],MasterData[],4,0)</f>
        <v>No.</v>
      </c>
      <c r="J166" s="9">
        <f>VLOOKUP(InputData4[[#This Row],[PRODUCT ID]],MasterData[],5,0)</f>
        <v>37</v>
      </c>
      <c r="K166" s="9">
        <f>VLOOKUP(InputData4[[#This Row],[PRODUCT ID]],MasterData[],6,0)</f>
        <v>41.81</v>
      </c>
      <c r="L166" s="9">
        <f>InputData4[[#This Row],[QUANTITY]]*InputData4[[#This Row],[BUYING PRIZE]]</f>
        <v>518</v>
      </c>
      <c r="M166" s="9">
        <f>InputData4[[#This Row],[QUANTITY]]*InputData4[[#This Row],[SELLING PRICE]]*(1-InputData4[[#This Row],[DISCOUNT %]])</f>
        <v>585.34</v>
      </c>
      <c r="N166" s="7">
        <f>DAY(InputData4[[#This Row],[DATE]])</f>
        <v>5</v>
      </c>
      <c r="O166" s="7">
        <f>MONTH(InputData4[[#This Row],[DATE]])</f>
        <v>8</v>
      </c>
      <c r="P166" s="7">
        <f>YEAR(InputData4[[#This Row],[DATE]])</f>
        <v>2021</v>
      </c>
    </row>
    <row r="167" spans="1:16" x14ac:dyDescent="0.3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  <c r="G167" t="str">
        <f>VLOOKUP(InputData4[[#This Row],[PRODUCT ID]],MasterData[],2,0)</f>
        <v>Product37</v>
      </c>
      <c r="H167" t="str">
        <f>VLOOKUP(InputData4[[#This Row],[PRODUCT ID]],MasterData[],3,0)</f>
        <v>Category05</v>
      </c>
      <c r="I167" t="str">
        <f>VLOOKUP(InputData4[[#This Row],[PRODUCT ID]],MasterData[],4,0)</f>
        <v>Kg</v>
      </c>
      <c r="J167" s="9">
        <f>VLOOKUP(InputData4[[#This Row],[PRODUCT ID]],MasterData[],5,0)</f>
        <v>67</v>
      </c>
      <c r="K167" s="9">
        <f>VLOOKUP(InputData4[[#This Row],[PRODUCT ID]],MasterData[],6,0)</f>
        <v>85.76</v>
      </c>
      <c r="L167" s="9">
        <f>InputData4[[#This Row],[QUANTITY]]*InputData4[[#This Row],[BUYING PRIZE]]</f>
        <v>67</v>
      </c>
      <c r="M167" s="9">
        <f>InputData4[[#This Row],[QUANTITY]]*InputData4[[#This Row],[SELLING PRICE]]*(1-InputData4[[#This Row],[DISCOUNT %]])</f>
        <v>85.76</v>
      </c>
      <c r="N167" s="7">
        <f>DAY(InputData4[[#This Row],[DATE]])</f>
        <v>6</v>
      </c>
      <c r="O167" s="7">
        <f>MONTH(InputData4[[#This Row],[DATE]])</f>
        <v>8</v>
      </c>
      <c r="P167" s="7">
        <f>YEAR(InputData4[[#This Row],[DATE]])</f>
        <v>2021</v>
      </c>
    </row>
    <row r="168" spans="1:16" x14ac:dyDescent="0.3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  <c r="G168" t="str">
        <f>VLOOKUP(InputData4[[#This Row],[PRODUCT ID]],MasterData[],2,0)</f>
        <v>Product05</v>
      </c>
      <c r="H168" t="str">
        <f>VLOOKUP(InputData4[[#This Row],[PRODUCT ID]],MasterData[],3,0)</f>
        <v>Category01</v>
      </c>
      <c r="I168" t="str">
        <f>VLOOKUP(InputData4[[#This Row],[PRODUCT ID]],MasterData[],4,0)</f>
        <v>Ft</v>
      </c>
      <c r="J168" s="9">
        <f>VLOOKUP(InputData4[[#This Row],[PRODUCT ID]],MasterData[],5,0)</f>
        <v>133</v>
      </c>
      <c r="K168" s="9">
        <f>VLOOKUP(InputData4[[#This Row],[PRODUCT ID]],MasterData[],6,0)</f>
        <v>155.61000000000001</v>
      </c>
      <c r="L168" s="9">
        <f>InputData4[[#This Row],[QUANTITY]]*InputData4[[#This Row],[BUYING PRIZE]]</f>
        <v>532</v>
      </c>
      <c r="M168" s="9">
        <f>InputData4[[#This Row],[QUANTITY]]*InputData4[[#This Row],[SELLING PRICE]]*(1-InputData4[[#This Row],[DISCOUNT %]])</f>
        <v>622.44000000000005</v>
      </c>
      <c r="N168" s="7">
        <f>DAY(InputData4[[#This Row],[DATE]])</f>
        <v>10</v>
      </c>
      <c r="O168" s="7">
        <f>MONTH(InputData4[[#This Row],[DATE]])</f>
        <v>8</v>
      </c>
      <c r="P168" s="7">
        <f>YEAR(InputData4[[#This Row],[DATE]])</f>
        <v>2021</v>
      </c>
    </row>
    <row r="169" spans="1:16" x14ac:dyDescent="0.3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  <c r="G169" t="str">
        <f>VLOOKUP(InputData4[[#This Row],[PRODUCT ID]],MasterData[],2,0)</f>
        <v>Product44</v>
      </c>
      <c r="H169" t="str">
        <f>VLOOKUP(InputData4[[#This Row],[PRODUCT ID]],MasterData[],3,0)</f>
        <v>Category05</v>
      </c>
      <c r="I169" t="str">
        <f>VLOOKUP(InputData4[[#This Row],[PRODUCT ID]],MasterData[],4,0)</f>
        <v>Kg</v>
      </c>
      <c r="J169" s="9">
        <f>VLOOKUP(InputData4[[#This Row],[PRODUCT ID]],MasterData[],5,0)</f>
        <v>76</v>
      </c>
      <c r="K169" s="9">
        <f>VLOOKUP(InputData4[[#This Row],[PRODUCT ID]],MasterData[],6,0)</f>
        <v>82.08</v>
      </c>
      <c r="L169" s="9">
        <f>InputData4[[#This Row],[QUANTITY]]*InputData4[[#This Row],[BUYING PRIZE]]</f>
        <v>760</v>
      </c>
      <c r="M169" s="9">
        <f>InputData4[[#This Row],[QUANTITY]]*InputData4[[#This Row],[SELLING PRICE]]*(1-InputData4[[#This Row],[DISCOUNT %]])</f>
        <v>820.8</v>
      </c>
      <c r="N169" s="7">
        <f>DAY(InputData4[[#This Row],[DATE]])</f>
        <v>10</v>
      </c>
      <c r="O169" s="7">
        <f>MONTH(InputData4[[#This Row],[DATE]])</f>
        <v>8</v>
      </c>
      <c r="P169" s="7">
        <f>YEAR(InputData4[[#This Row],[DATE]])</f>
        <v>2021</v>
      </c>
    </row>
    <row r="170" spans="1:16" x14ac:dyDescent="0.3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  <c r="G170" t="str">
        <f>VLOOKUP(InputData4[[#This Row],[PRODUCT ID]],MasterData[],2,0)</f>
        <v>Product06</v>
      </c>
      <c r="H170" t="str">
        <f>VLOOKUP(InputData4[[#This Row],[PRODUCT ID]],MasterData[],3,0)</f>
        <v>Category01</v>
      </c>
      <c r="I170" t="str">
        <f>VLOOKUP(InputData4[[#This Row],[PRODUCT ID]],MasterData[],4,0)</f>
        <v>Kg</v>
      </c>
      <c r="J170" s="9">
        <f>VLOOKUP(InputData4[[#This Row],[PRODUCT ID]],MasterData[],5,0)</f>
        <v>75</v>
      </c>
      <c r="K170" s="9">
        <f>VLOOKUP(InputData4[[#This Row],[PRODUCT ID]],MasterData[],6,0)</f>
        <v>85.5</v>
      </c>
      <c r="L170" s="9">
        <f>InputData4[[#This Row],[QUANTITY]]*InputData4[[#This Row],[BUYING PRIZE]]</f>
        <v>450</v>
      </c>
      <c r="M170" s="9">
        <f>InputData4[[#This Row],[QUANTITY]]*InputData4[[#This Row],[SELLING PRICE]]*(1-InputData4[[#This Row],[DISCOUNT %]])</f>
        <v>513</v>
      </c>
      <c r="N170" s="7">
        <f>DAY(InputData4[[#This Row],[DATE]])</f>
        <v>10</v>
      </c>
      <c r="O170" s="7">
        <f>MONTH(InputData4[[#This Row],[DATE]])</f>
        <v>8</v>
      </c>
      <c r="P170" s="7">
        <f>YEAR(InputData4[[#This Row],[DATE]])</f>
        <v>2021</v>
      </c>
    </row>
    <row r="171" spans="1:16" x14ac:dyDescent="0.3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  <c r="G171" t="str">
        <f>VLOOKUP(InputData4[[#This Row],[PRODUCT ID]],MasterData[],2,0)</f>
        <v>Product23</v>
      </c>
      <c r="H171" t="str">
        <f>VLOOKUP(InputData4[[#This Row],[PRODUCT ID]],MasterData[],3,0)</f>
        <v>Category03</v>
      </c>
      <c r="I171" t="str">
        <f>VLOOKUP(InputData4[[#This Row],[PRODUCT ID]],MasterData[],4,0)</f>
        <v>Ft</v>
      </c>
      <c r="J171" s="9">
        <f>VLOOKUP(InputData4[[#This Row],[PRODUCT ID]],MasterData[],5,0)</f>
        <v>141</v>
      </c>
      <c r="K171" s="9">
        <f>VLOOKUP(InputData4[[#This Row],[PRODUCT ID]],MasterData[],6,0)</f>
        <v>149.46</v>
      </c>
      <c r="L171" s="9">
        <f>InputData4[[#This Row],[QUANTITY]]*InputData4[[#This Row],[BUYING PRIZE]]</f>
        <v>564</v>
      </c>
      <c r="M171" s="9">
        <f>InputData4[[#This Row],[QUANTITY]]*InputData4[[#This Row],[SELLING PRICE]]*(1-InputData4[[#This Row],[DISCOUNT %]])</f>
        <v>597.84</v>
      </c>
      <c r="N171" s="7">
        <f>DAY(InputData4[[#This Row],[DATE]])</f>
        <v>11</v>
      </c>
      <c r="O171" s="7">
        <f>MONTH(InputData4[[#This Row],[DATE]])</f>
        <v>8</v>
      </c>
      <c r="P171" s="7">
        <f>YEAR(InputData4[[#This Row],[DATE]])</f>
        <v>2021</v>
      </c>
    </row>
    <row r="172" spans="1:16" x14ac:dyDescent="0.3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  <c r="G172" t="str">
        <f>VLOOKUP(InputData4[[#This Row],[PRODUCT ID]],MasterData[],2,0)</f>
        <v>Product11</v>
      </c>
      <c r="H172" t="str">
        <f>VLOOKUP(InputData4[[#This Row],[PRODUCT ID]],MasterData[],3,0)</f>
        <v>Category02</v>
      </c>
      <c r="I172" t="str">
        <f>VLOOKUP(InputData4[[#This Row],[PRODUCT ID]],MasterData[],4,0)</f>
        <v>Lt</v>
      </c>
      <c r="J172" s="9">
        <f>VLOOKUP(InputData4[[#This Row],[PRODUCT ID]],MasterData[],5,0)</f>
        <v>44</v>
      </c>
      <c r="K172" s="9">
        <f>VLOOKUP(InputData4[[#This Row],[PRODUCT ID]],MasterData[],6,0)</f>
        <v>48.4</v>
      </c>
      <c r="L172" s="9">
        <f>InputData4[[#This Row],[QUANTITY]]*InputData4[[#This Row],[BUYING PRIZE]]</f>
        <v>572</v>
      </c>
      <c r="M172" s="9">
        <f>InputData4[[#This Row],[QUANTITY]]*InputData4[[#This Row],[SELLING PRICE]]*(1-InputData4[[#This Row],[DISCOUNT %]])</f>
        <v>629.19999999999993</v>
      </c>
      <c r="N172" s="7">
        <f>DAY(InputData4[[#This Row],[DATE]])</f>
        <v>13</v>
      </c>
      <c r="O172" s="7">
        <f>MONTH(InputData4[[#This Row],[DATE]])</f>
        <v>8</v>
      </c>
      <c r="P172" s="7">
        <f>YEAR(InputData4[[#This Row],[DATE]])</f>
        <v>2021</v>
      </c>
    </row>
    <row r="173" spans="1:16" x14ac:dyDescent="0.3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  <c r="G173" t="str">
        <f>VLOOKUP(InputData4[[#This Row],[PRODUCT ID]],MasterData[],2,0)</f>
        <v>Product27</v>
      </c>
      <c r="H173" t="str">
        <f>VLOOKUP(InputData4[[#This Row],[PRODUCT ID]],MasterData[],3,0)</f>
        <v>Category04</v>
      </c>
      <c r="I173" t="str">
        <f>VLOOKUP(InputData4[[#This Row],[PRODUCT ID]],MasterData[],4,0)</f>
        <v>Lt</v>
      </c>
      <c r="J173" s="9">
        <f>VLOOKUP(InputData4[[#This Row],[PRODUCT ID]],MasterData[],5,0)</f>
        <v>48</v>
      </c>
      <c r="K173" s="9">
        <f>VLOOKUP(InputData4[[#This Row],[PRODUCT ID]],MasterData[],6,0)</f>
        <v>57.120000000000005</v>
      </c>
      <c r="L173" s="9">
        <f>InputData4[[#This Row],[QUANTITY]]*InputData4[[#This Row],[BUYING PRIZE]]</f>
        <v>432</v>
      </c>
      <c r="M173" s="9">
        <f>InputData4[[#This Row],[QUANTITY]]*InputData4[[#This Row],[SELLING PRICE]]*(1-InputData4[[#This Row],[DISCOUNT %]])</f>
        <v>514.08000000000004</v>
      </c>
      <c r="N173" s="7">
        <f>DAY(InputData4[[#This Row],[DATE]])</f>
        <v>13</v>
      </c>
      <c r="O173" s="7">
        <f>MONTH(InputData4[[#This Row],[DATE]])</f>
        <v>8</v>
      </c>
      <c r="P173" s="7">
        <f>YEAR(InputData4[[#This Row],[DATE]])</f>
        <v>2021</v>
      </c>
    </row>
    <row r="174" spans="1:16" x14ac:dyDescent="0.3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  <c r="G174" t="str">
        <f>VLOOKUP(InputData4[[#This Row],[PRODUCT ID]],MasterData[],2,0)</f>
        <v>Product03</v>
      </c>
      <c r="H174" t="str">
        <f>VLOOKUP(InputData4[[#This Row],[PRODUCT ID]],MasterData[],3,0)</f>
        <v>Category01</v>
      </c>
      <c r="I174" t="str">
        <f>VLOOKUP(InputData4[[#This Row],[PRODUCT ID]],MasterData[],4,0)</f>
        <v>Kg</v>
      </c>
      <c r="J174" s="9">
        <f>VLOOKUP(InputData4[[#This Row],[PRODUCT ID]],MasterData[],5,0)</f>
        <v>71</v>
      </c>
      <c r="K174" s="9">
        <f>VLOOKUP(InputData4[[#This Row],[PRODUCT ID]],MasterData[],6,0)</f>
        <v>80.94</v>
      </c>
      <c r="L174" s="9">
        <f>InputData4[[#This Row],[QUANTITY]]*InputData4[[#This Row],[BUYING PRIZE]]</f>
        <v>213</v>
      </c>
      <c r="M174" s="9">
        <f>InputData4[[#This Row],[QUANTITY]]*InputData4[[#This Row],[SELLING PRICE]]*(1-InputData4[[#This Row],[DISCOUNT %]])</f>
        <v>242.82</v>
      </c>
      <c r="N174" s="7">
        <f>DAY(InputData4[[#This Row],[DATE]])</f>
        <v>16</v>
      </c>
      <c r="O174" s="7">
        <f>MONTH(InputData4[[#This Row],[DATE]])</f>
        <v>8</v>
      </c>
      <c r="P174" s="7">
        <f>YEAR(InputData4[[#This Row],[DATE]])</f>
        <v>2021</v>
      </c>
    </row>
    <row r="175" spans="1:16" x14ac:dyDescent="0.3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  <c r="G175" t="str">
        <f>VLOOKUP(InputData4[[#This Row],[PRODUCT ID]],MasterData[],2,0)</f>
        <v>Product25</v>
      </c>
      <c r="H175" t="str">
        <f>VLOOKUP(InputData4[[#This Row],[PRODUCT ID]],MasterData[],3,0)</f>
        <v>Category03</v>
      </c>
      <c r="I175" t="str">
        <f>VLOOKUP(InputData4[[#This Row],[PRODUCT ID]],MasterData[],4,0)</f>
        <v>No.</v>
      </c>
      <c r="J175" s="9">
        <f>VLOOKUP(InputData4[[#This Row],[PRODUCT ID]],MasterData[],5,0)</f>
        <v>7</v>
      </c>
      <c r="K175" s="9">
        <f>VLOOKUP(InputData4[[#This Row],[PRODUCT ID]],MasterData[],6,0)</f>
        <v>8.33</v>
      </c>
      <c r="L175" s="9">
        <f>InputData4[[#This Row],[QUANTITY]]*InputData4[[#This Row],[BUYING PRIZE]]</f>
        <v>42</v>
      </c>
      <c r="M175" s="9">
        <f>InputData4[[#This Row],[QUANTITY]]*InputData4[[#This Row],[SELLING PRICE]]*(1-InputData4[[#This Row],[DISCOUNT %]])</f>
        <v>49.980000000000004</v>
      </c>
      <c r="N175" s="7">
        <f>DAY(InputData4[[#This Row],[DATE]])</f>
        <v>18</v>
      </c>
      <c r="O175" s="7">
        <f>MONTH(InputData4[[#This Row],[DATE]])</f>
        <v>8</v>
      </c>
      <c r="P175" s="7">
        <f>YEAR(InputData4[[#This Row],[DATE]])</f>
        <v>2021</v>
      </c>
    </row>
    <row r="176" spans="1:16" x14ac:dyDescent="0.3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  <c r="G176" t="str">
        <f>VLOOKUP(InputData4[[#This Row],[PRODUCT ID]],MasterData[],2,0)</f>
        <v>Product20</v>
      </c>
      <c r="H176" t="str">
        <f>VLOOKUP(InputData4[[#This Row],[PRODUCT ID]],MasterData[],3,0)</f>
        <v>Category03</v>
      </c>
      <c r="I176" t="str">
        <f>VLOOKUP(InputData4[[#This Row],[PRODUCT ID]],MasterData[],4,0)</f>
        <v>Lt</v>
      </c>
      <c r="J176" s="9">
        <f>VLOOKUP(InputData4[[#This Row],[PRODUCT ID]],MasterData[],5,0)</f>
        <v>61</v>
      </c>
      <c r="K176" s="9">
        <f>VLOOKUP(InputData4[[#This Row],[PRODUCT ID]],MasterData[],6,0)</f>
        <v>76.25</v>
      </c>
      <c r="L176" s="9">
        <f>InputData4[[#This Row],[QUANTITY]]*InputData4[[#This Row],[BUYING PRIZE]]</f>
        <v>915</v>
      </c>
      <c r="M176" s="9">
        <f>InputData4[[#This Row],[QUANTITY]]*InputData4[[#This Row],[SELLING PRICE]]*(1-InputData4[[#This Row],[DISCOUNT %]])</f>
        <v>1143.75</v>
      </c>
      <c r="N176" s="7">
        <f>DAY(InputData4[[#This Row],[DATE]])</f>
        <v>20</v>
      </c>
      <c r="O176" s="7">
        <f>MONTH(InputData4[[#This Row],[DATE]])</f>
        <v>8</v>
      </c>
      <c r="P176" s="7">
        <f>YEAR(InputData4[[#This Row],[DATE]])</f>
        <v>2021</v>
      </c>
    </row>
    <row r="177" spans="1:16" x14ac:dyDescent="0.3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  <c r="G177" t="str">
        <f>VLOOKUP(InputData4[[#This Row],[PRODUCT ID]],MasterData[],2,0)</f>
        <v>Product31</v>
      </c>
      <c r="H177" t="str">
        <f>VLOOKUP(InputData4[[#This Row],[PRODUCT ID]],MasterData[],3,0)</f>
        <v>Category04</v>
      </c>
      <c r="I177" t="str">
        <f>VLOOKUP(InputData4[[#This Row],[PRODUCT ID]],MasterData[],4,0)</f>
        <v>Kg</v>
      </c>
      <c r="J177" s="9">
        <f>VLOOKUP(InputData4[[#This Row],[PRODUCT ID]],MasterData[],5,0)</f>
        <v>93</v>
      </c>
      <c r="K177" s="9">
        <f>VLOOKUP(InputData4[[#This Row],[PRODUCT ID]],MasterData[],6,0)</f>
        <v>104.16</v>
      </c>
      <c r="L177" s="9">
        <f>InputData4[[#This Row],[QUANTITY]]*InputData4[[#This Row],[BUYING PRIZE]]</f>
        <v>837</v>
      </c>
      <c r="M177" s="9">
        <f>InputData4[[#This Row],[QUANTITY]]*InputData4[[#This Row],[SELLING PRICE]]*(1-InputData4[[#This Row],[DISCOUNT %]])</f>
        <v>937.43999999999994</v>
      </c>
      <c r="N177" s="7">
        <f>DAY(InputData4[[#This Row],[DATE]])</f>
        <v>20</v>
      </c>
      <c r="O177" s="7">
        <f>MONTH(InputData4[[#This Row],[DATE]])</f>
        <v>8</v>
      </c>
      <c r="P177" s="7">
        <f>YEAR(InputData4[[#This Row],[DATE]])</f>
        <v>2021</v>
      </c>
    </row>
    <row r="178" spans="1:16" x14ac:dyDescent="0.3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  <c r="G178" t="str">
        <f>VLOOKUP(InputData4[[#This Row],[PRODUCT ID]],MasterData[],2,0)</f>
        <v>Product28</v>
      </c>
      <c r="H178" t="str">
        <f>VLOOKUP(InputData4[[#This Row],[PRODUCT ID]],MasterData[],3,0)</f>
        <v>Category04</v>
      </c>
      <c r="I178" t="str">
        <f>VLOOKUP(InputData4[[#This Row],[PRODUCT ID]],MasterData[],4,0)</f>
        <v>No.</v>
      </c>
      <c r="J178" s="9">
        <f>VLOOKUP(InputData4[[#This Row],[PRODUCT ID]],MasterData[],5,0)</f>
        <v>37</v>
      </c>
      <c r="K178" s="9">
        <f>VLOOKUP(InputData4[[#This Row],[PRODUCT ID]],MasterData[],6,0)</f>
        <v>41.81</v>
      </c>
      <c r="L178" s="9">
        <f>InputData4[[#This Row],[QUANTITY]]*InputData4[[#This Row],[BUYING PRIZE]]</f>
        <v>481</v>
      </c>
      <c r="M178" s="9">
        <f>InputData4[[#This Row],[QUANTITY]]*InputData4[[#This Row],[SELLING PRICE]]*(1-InputData4[[#This Row],[DISCOUNT %]])</f>
        <v>543.53</v>
      </c>
      <c r="N178" s="7">
        <f>DAY(InputData4[[#This Row],[DATE]])</f>
        <v>20</v>
      </c>
      <c r="O178" s="7">
        <f>MONTH(InputData4[[#This Row],[DATE]])</f>
        <v>8</v>
      </c>
      <c r="P178" s="7">
        <f>YEAR(InputData4[[#This Row],[DATE]])</f>
        <v>2021</v>
      </c>
    </row>
    <row r="179" spans="1:16" x14ac:dyDescent="0.3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  <c r="G179" t="str">
        <f>VLOOKUP(InputData4[[#This Row],[PRODUCT ID]],MasterData[],2,0)</f>
        <v>Product39</v>
      </c>
      <c r="H179" t="str">
        <f>VLOOKUP(InputData4[[#This Row],[PRODUCT ID]],MasterData[],3,0)</f>
        <v>Category05</v>
      </c>
      <c r="I179" t="str">
        <f>VLOOKUP(InputData4[[#This Row],[PRODUCT ID]],MasterData[],4,0)</f>
        <v>No.</v>
      </c>
      <c r="J179" s="9">
        <f>VLOOKUP(InputData4[[#This Row],[PRODUCT ID]],MasterData[],5,0)</f>
        <v>37</v>
      </c>
      <c r="K179" s="9">
        <f>VLOOKUP(InputData4[[#This Row],[PRODUCT ID]],MasterData[],6,0)</f>
        <v>42.55</v>
      </c>
      <c r="L179" s="9">
        <f>InputData4[[#This Row],[QUANTITY]]*InputData4[[#This Row],[BUYING PRIZE]]</f>
        <v>148</v>
      </c>
      <c r="M179" s="9">
        <f>InputData4[[#This Row],[QUANTITY]]*InputData4[[#This Row],[SELLING PRICE]]*(1-InputData4[[#This Row],[DISCOUNT %]])</f>
        <v>170.2</v>
      </c>
      <c r="N179" s="7">
        <f>DAY(InputData4[[#This Row],[DATE]])</f>
        <v>26</v>
      </c>
      <c r="O179" s="7">
        <f>MONTH(InputData4[[#This Row],[DATE]])</f>
        <v>8</v>
      </c>
      <c r="P179" s="7">
        <f>YEAR(InputData4[[#This Row],[DATE]])</f>
        <v>2021</v>
      </c>
    </row>
    <row r="180" spans="1:16" x14ac:dyDescent="0.3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  <c r="G180" t="str">
        <f>VLOOKUP(InputData4[[#This Row],[PRODUCT ID]],MasterData[],2,0)</f>
        <v>Product34</v>
      </c>
      <c r="H180" t="str">
        <f>VLOOKUP(InputData4[[#This Row],[PRODUCT ID]],MasterData[],3,0)</f>
        <v>Category04</v>
      </c>
      <c r="I180" t="str">
        <f>VLOOKUP(InputData4[[#This Row],[PRODUCT ID]],MasterData[],4,0)</f>
        <v>Lt</v>
      </c>
      <c r="J180" s="9">
        <f>VLOOKUP(InputData4[[#This Row],[PRODUCT ID]],MasterData[],5,0)</f>
        <v>55</v>
      </c>
      <c r="K180" s="9">
        <f>VLOOKUP(InputData4[[#This Row],[PRODUCT ID]],MasterData[],6,0)</f>
        <v>58.3</v>
      </c>
      <c r="L180" s="9">
        <f>InputData4[[#This Row],[QUANTITY]]*InputData4[[#This Row],[BUYING PRIZE]]</f>
        <v>660</v>
      </c>
      <c r="M180" s="9">
        <f>InputData4[[#This Row],[QUANTITY]]*InputData4[[#This Row],[SELLING PRICE]]*(1-InputData4[[#This Row],[DISCOUNT %]])</f>
        <v>699.59999999999991</v>
      </c>
      <c r="N180" s="7">
        <f>DAY(InputData4[[#This Row],[DATE]])</f>
        <v>29</v>
      </c>
      <c r="O180" s="7">
        <f>MONTH(InputData4[[#This Row],[DATE]])</f>
        <v>8</v>
      </c>
      <c r="P180" s="7">
        <f>YEAR(InputData4[[#This Row],[DATE]])</f>
        <v>2021</v>
      </c>
    </row>
    <row r="181" spans="1:16" x14ac:dyDescent="0.3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  <c r="G181" t="str">
        <f>VLOOKUP(InputData4[[#This Row],[PRODUCT ID]],MasterData[],2,0)</f>
        <v>Product13</v>
      </c>
      <c r="H181" t="str">
        <f>VLOOKUP(InputData4[[#This Row],[PRODUCT ID]],MasterData[],3,0)</f>
        <v>Category02</v>
      </c>
      <c r="I181" t="str">
        <f>VLOOKUP(InputData4[[#This Row],[PRODUCT ID]],MasterData[],4,0)</f>
        <v>Kg</v>
      </c>
      <c r="J181" s="9">
        <f>VLOOKUP(InputData4[[#This Row],[PRODUCT ID]],MasterData[],5,0)</f>
        <v>112</v>
      </c>
      <c r="K181" s="9">
        <f>VLOOKUP(InputData4[[#This Row],[PRODUCT ID]],MasterData[],6,0)</f>
        <v>122.08</v>
      </c>
      <c r="L181" s="9">
        <f>InputData4[[#This Row],[QUANTITY]]*InputData4[[#This Row],[BUYING PRIZE]]</f>
        <v>1456</v>
      </c>
      <c r="M181" s="9">
        <f>InputData4[[#This Row],[QUANTITY]]*InputData4[[#This Row],[SELLING PRICE]]*(1-InputData4[[#This Row],[DISCOUNT %]])</f>
        <v>1587.04</v>
      </c>
      <c r="N181" s="7">
        <f>DAY(InputData4[[#This Row],[DATE]])</f>
        <v>30</v>
      </c>
      <c r="O181" s="7">
        <f>MONTH(InputData4[[#This Row],[DATE]])</f>
        <v>8</v>
      </c>
      <c r="P181" s="7">
        <f>YEAR(InputData4[[#This Row],[DATE]])</f>
        <v>2021</v>
      </c>
    </row>
    <row r="182" spans="1:16" x14ac:dyDescent="0.3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  <c r="G182" t="str">
        <f>VLOOKUP(InputData4[[#This Row],[PRODUCT ID]],MasterData[],2,0)</f>
        <v>Product01</v>
      </c>
      <c r="H182" t="str">
        <f>VLOOKUP(InputData4[[#This Row],[PRODUCT ID]],MasterData[],3,0)</f>
        <v>Category01</v>
      </c>
      <c r="I182" t="str">
        <f>VLOOKUP(InputData4[[#This Row],[PRODUCT ID]],MasterData[],4,0)</f>
        <v>Kg</v>
      </c>
      <c r="J182" s="9">
        <f>VLOOKUP(InputData4[[#This Row],[PRODUCT ID]],MasterData[],5,0)</f>
        <v>98</v>
      </c>
      <c r="K182" s="9">
        <f>VLOOKUP(InputData4[[#This Row],[PRODUCT ID]],MasterData[],6,0)</f>
        <v>103.88</v>
      </c>
      <c r="L182" s="9">
        <f>InputData4[[#This Row],[QUANTITY]]*InputData4[[#This Row],[BUYING PRIZE]]</f>
        <v>196</v>
      </c>
      <c r="M182" s="9">
        <f>InputData4[[#This Row],[QUANTITY]]*InputData4[[#This Row],[SELLING PRICE]]*(1-InputData4[[#This Row],[DISCOUNT %]])</f>
        <v>207.76</v>
      </c>
      <c r="N182" s="7">
        <f>DAY(InputData4[[#This Row],[DATE]])</f>
        <v>31</v>
      </c>
      <c r="O182" s="7">
        <f>MONTH(InputData4[[#This Row],[DATE]])</f>
        <v>8</v>
      </c>
      <c r="P182" s="7">
        <f>YEAR(InputData4[[#This Row],[DATE]])</f>
        <v>2021</v>
      </c>
    </row>
    <row r="183" spans="1:16" x14ac:dyDescent="0.3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  <c r="G183" t="str">
        <f>VLOOKUP(InputData4[[#This Row],[PRODUCT ID]],MasterData[],2,0)</f>
        <v>Product35</v>
      </c>
      <c r="H183" t="str">
        <f>VLOOKUP(InputData4[[#This Row],[PRODUCT ID]],MasterData[],3,0)</f>
        <v>Category04</v>
      </c>
      <c r="I183" t="str">
        <f>VLOOKUP(InputData4[[#This Row],[PRODUCT ID]],MasterData[],4,0)</f>
        <v>No.</v>
      </c>
      <c r="J183" s="9">
        <f>VLOOKUP(InputData4[[#This Row],[PRODUCT ID]],MasterData[],5,0)</f>
        <v>5</v>
      </c>
      <c r="K183" s="9">
        <f>VLOOKUP(InputData4[[#This Row],[PRODUCT ID]],MasterData[],6,0)</f>
        <v>6.7</v>
      </c>
      <c r="L183" s="9">
        <f>InputData4[[#This Row],[QUANTITY]]*InputData4[[#This Row],[BUYING PRIZE]]</f>
        <v>55</v>
      </c>
      <c r="M183" s="9">
        <f>InputData4[[#This Row],[QUANTITY]]*InputData4[[#This Row],[SELLING PRICE]]*(1-InputData4[[#This Row],[DISCOUNT %]])</f>
        <v>73.7</v>
      </c>
      <c r="N183" s="7">
        <f>DAY(InputData4[[#This Row],[DATE]])</f>
        <v>31</v>
      </c>
      <c r="O183" s="7">
        <f>MONTH(InputData4[[#This Row],[DATE]])</f>
        <v>8</v>
      </c>
      <c r="P183" s="7">
        <f>YEAR(InputData4[[#This Row],[DATE]])</f>
        <v>2021</v>
      </c>
    </row>
    <row r="184" spans="1:16" x14ac:dyDescent="0.3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  <c r="G184" t="str">
        <f>VLOOKUP(InputData4[[#This Row],[PRODUCT ID]],MasterData[],2,0)</f>
        <v>Product24</v>
      </c>
      <c r="H184" t="str">
        <f>VLOOKUP(InputData4[[#This Row],[PRODUCT ID]],MasterData[],3,0)</f>
        <v>Category03</v>
      </c>
      <c r="I184" t="str">
        <f>VLOOKUP(InputData4[[#This Row],[PRODUCT ID]],MasterData[],4,0)</f>
        <v>Ft</v>
      </c>
      <c r="J184" s="9">
        <f>VLOOKUP(InputData4[[#This Row],[PRODUCT ID]],MasterData[],5,0)</f>
        <v>144</v>
      </c>
      <c r="K184" s="9">
        <f>VLOOKUP(InputData4[[#This Row],[PRODUCT ID]],MasterData[],6,0)</f>
        <v>156.96</v>
      </c>
      <c r="L184" s="9">
        <f>InputData4[[#This Row],[QUANTITY]]*InputData4[[#This Row],[BUYING PRIZE]]</f>
        <v>144</v>
      </c>
      <c r="M184" s="9">
        <f>InputData4[[#This Row],[QUANTITY]]*InputData4[[#This Row],[SELLING PRICE]]*(1-InputData4[[#This Row],[DISCOUNT %]])</f>
        <v>156.96</v>
      </c>
      <c r="N184" s="7">
        <f>DAY(InputData4[[#This Row],[DATE]])</f>
        <v>1</v>
      </c>
      <c r="O184" s="7">
        <f>MONTH(InputData4[[#This Row],[DATE]])</f>
        <v>9</v>
      </c>
      <c r="P184" s="7">
        <f>YEAR(InputData4[[#This Row],[DATE]])</f>
        <v>2021</v>
      </c>
    </row>
    <row r="185" spans="1:16" x14ac:dyDescent="0.3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  <c r="G185" t="str">
        <f>VLOOKUP(InputData4[[#This Row],[PRODUCT ID]],MasterData[],2,0)</f>
        <v>Product03</v>
      </c>
      <c r="H185" t="str">
        <f>VLOOKUP(InputData4[[#This Row],[PRODUCT ID]],MasterData[],3,0)</f>
        <v>Category01</v>
      </c>
      <c r="I185" t="str">
        <f>VLOOKUP(InputData4[[#This Row],[PRODUCT ID]],MasterData[],4,0)</f>
        <v>Kg</v>
      </c>
      <c r="J185" s="9">
        <f>VLOOKUP(InputData4[[#This Row],[PRODUCT ID]],MasterData[],5,0)</f>
        <v>71</v>
      </c>
      <c r="K185" s="9">
        <f>VLOOKUP(InputData4[[#This Row],[PRODUCT ID]],MasterData[],6,0)</f>
        <v>80.94</v>
      </c>
      <c r="L185" s="9">
        <f>InputData4[[#This Row],[QUANTITY]]*InputData4[[#This Row],[BUYING PRIZE]]</f>
        <v>994</v>
      </c>
      <c r="M185" s="9">
        <f>InputData4[[#This Row],[QUANTITY]]*InputData4[[#This Row],[SELLING PRICE]]*(1-InputData4[[#This Row],[DISCOUNT %]])</f>
        <v>1133.1599999999999</v>
      </c>
      <c r="N185" s="7">
        <f>DAY(InputData4[[#This Row],[DATE]])</f>
        <v>1</v>
      </c>
      <c r="O185" s="7">
        <f>MONTH(InputData4[[#This Row],[DATE]])</f>
        <v>9</v>
      </c>
      <c r="P185" s="7">
        <f>YEAR(InputData4[[#This Row],[DATE]])</f>
        <v>2021</v>
      </c>
    </row>
    <row r="186" spans="1:16" x14ac:dyDescent="0.3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  <c r="G186" t="str">
        <f>VLOOKUP(InputData4[[#This Row],[PRODUCT ID]],MasterData[],2,0)</f>
        <v>Product41</v>
      </c>
      <c r="H186" t="str">
        <f>VLOOKUP(InputData4[[#This Row],[PRODUCT ID]],MasterData[],3,0)</f>
        <v>Category05</v>
      </c>
      <c r="I186" t="str">
        <f>VLOOKUP(InputData4[[#This Row],[PRODUCT ID]],MasterData[],4,0)</f>
        <v>Ft</v>
      </c>
      <c r="J186" s="9">
        <f>VLOOKUP(InputData4[[#This Row],[PRODUCT ID]],MasterData[],5,0)</f>
        <v>138</v>
      </c>
      <c r="K186" s="9">
        <f>VLOOKUP(InputData4[[#This Row],[PRODUCT ID]],MasterData[],6,0)</f>
        <v>173.88</v>
      </c>
      <c r="L186" s="9">
        <f>InputData4[[#This Row],[QUANTITY]]*InputData4[[#This Row],[BUYING PRIZE]]</f>
        <v>1104</v>
      </c>
      <c r="M186" s="9">
        <f>InputData4[[#This Row],[QUANTITY]]*InputData4[[#This Row],[SELLING PRICE]]*(1-InputData4[[#This Row],[DISCOUNT %]])</f>
        <v>1391.04</v>
      </c>
      <c r="N186" s="7">
        <f>DAY(InputData4[[#This Row],[DATE]])</f>
        <v>3</v>
      </c>
      <c r="O186" s="7">
        <f>MONTH(InputData4[[#This Row],[DATE]])</f>
        <v>9</v>
      </c>
      <c r="P186" s="7">
        <f>YEAR(InputData4[[#This Row],[DATE]])</f>
        <v>2021</v>
      </c>
    </row>
    <row r="187" spans="1:16" x14ac:dyDescent="0.3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  <c r="G187" t="str">
        <f>VLOOKUP(InputData4[[#This Row],[PRODUCT ID]],MasterData[],2,0)</f>
        <v>Product28</v>
      </c>
      <c r="H187" t="str">
        <f>VLOOKUP(InputData4[[#This Row],[PRODUCT ID]],MasterData[],3,0)</f>
        <v>Category04</v>
      </c>
      <c r="I187" t="str">
        <f>VLOOKUP(InputData4[[#This Row],[PRODUCT ID]],MasterData[],4,0)</f>
        <v>No.</v>
      </c>
      <c r="J187" s="9">
        <f>VLOOKUP(InputData4[[#This Row],[PRODUCT ID]],MasterData[],5,0)</f>
        <v>37</v>
      </c>
      <c r="K187" s="9">
        <f>VLOOKUP(InputData4[[#This Row],[PRODUCT ID]],MasterData[],6,0)</f>
        <v>41.81</v>
      </c>
      <c r="L187" s="9">
        <f>InputData4[[#This Row],[QUANTITY]]*InputData4[[#This Row],[BUYING PRIZE]]</f>
        <v>259</v>
      </c>
      <c r="M187" s="9">
        <f>InputData4[[#This Row],[QUANTITY]]*InputData4[[#This Row],[SELLING PRICE]]*(1-InputData4[[#This Row],[DISCOUNT %]])</f>
        <v>292.67</v>
      </c>
      <c r="N187" s="7">
        <f>DAY(InputData4[[#This Row],[DATE]])</f>
        <v>4</v>
      </c>
      <c r="O187" s="7">
        <f>MONTH(InputData4[[#This Row],[DATE]])</f>
        <v>9</v>
      </c>
      <c r="P187" s="7">
        <f>YEAR(InputData4[[#This Row],[DATE]])</f>
        <v>2021</v>
      </c>
    </row>
    <row r="188" spans="1:16" x14ac:dyDescent="0.3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  <c r="G188" t="str">
        <f>VLOOKUP(InputData4[[#This Row],[PRODUCT ID]],MasterData[],2,0)</f>
        <v>Product23</v>
      </c>
      <c r="H188" t="str">
        <f>VLOOKUP(InputData4[[#This Row],[PRODUCT ID]],MasterData[],3,0)</f>
        <v>Category03</v>
      </c>
      <c r="I188" t="str">
        <f>VLOOKUP(InputData4[[#This Row],[PRODUCT ID]],MasterData[],4,0)</f>
        <v>Ft</v>
      </c>
      <c r="J188" s="9">
        <f>VLOOKUP(InputData4[[#This Row],[PRODUCT ID]],MasterData[],5,0)</f>
        <v>141</v>
      </c>
      <c r="K188" s="9">
        <f>VLOOKUP(InputData4[[#This Row],[PRODUCT ID]],MasterData[],6,0)</f>
        <v>149.46</v>
      </c>
      <c r="L188" s="9">
        <f>InputData4[[#This Row],[QUANTITY]]*InputData4[[#This Row],[BUYING PRIZE]]</f>
        <v>2115</v>
      </c>
      <c r="M188" s="9">
        <f>InputData4[[#This Row],[QUANTITY]]*InputData4[[#This Row],[SELLING PRICE]]*(1-InputData4[[#This Row],[DISCOUNT %]])</f>
        <v>2241.9</v>
      </c>
      <c r="N188" s="7">
        <f>DAY(InputData4[[#This Row],[DATE]])</f>
        <v>4</v>
      </c>
      <c r="O188" s="7">
        <f>MONTH(InputData4[[#This Row],[DATE]])</f>
        <v>9</v>
      </c>
      <c r="P188" s="7">
        <f>YEAR(InputData4[[#This Row],[DATE]])</f>
        <v>2021</v>
      </c>
    </row>
    <row r="189" spans="1:16" x14ac:dyDescent="0.3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  <c r="G189" t="str">
        <f>VLOOKUP(InputData4[[#This Row],[PRODUCT ID]],MasterData[],2,0)</f>
        <v>Product32</v>
      </c>
      <c r="H189" t="str">
        <f>VLOOKUP(InputData4[[#This Row],[PRODUCT ID]],MasterData[],3,0)</f>
        <v>Category04</v>
      </c>
      <c r="I189" t="str">
        <f>VLOOKUP(InputData4[[#This Row],[PRODUCT ID]],MasterData[],4,0)</f>
        <v>Kg</v>
      </c>
      <c r="J189" s="9">
        <f>VLOOKUP(InputData4[[#This Row],[PRODUCT ID]],MasterData[],5,0)</f>
        <v>89</v>
      </c>
      <c r="K189" s="9">
        <f>VLOOKUP(InputData4[[#This Row],[PRODUCT ID]],MasterData[],6,0)</f>
        <v>117.48</v>
      </c>
      <c r="L189" s="9">
        <f>InputData4[[#This Row],[QUANTITY]]*InputData4[[#This Row],[BUYING PRIZE]]</f>
        <v>89</v>
      </c>
      <c r="M189" s="9">
        <f>InputData4[[#This Row],[QUANTITY]]*InputData4[[#This Row],[SELLING PRICE]]*(1-InputData4[[#This Row],[DISCOUNT %]])</f>
        <v>117.48</v>
      </c>
      <c r="N189" s="7">
        <f>DAY(InputData4[[#This Row],[DATE]])</f>
        <v>5</v>
      </c>
      <c r="O189" s="7">
        <f>MONTH(InputData4[[#This Row],[DATE]])</f>
        <v>9</v>
      </c>
      <c r="P189" s="7">
        <f>YEAR(InputData4[[#This Row],[DATE]])</f>
        <v>2021</v>
      </c>
    </row>
    <row r="190" spans="1:16" x14ac:dyDescent="0.3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  <c r="G190" t="str">
        <f>VLOOKUP(InputData4[[#This Row],[PRODUCT ID]],MasterData[],2,0)</f>
        <v>Product19</v>
      </c>
      <c r="H190" t="str">
        <f>VLOOKUP(InputData4[[#This Row],[PRODUCT ID]],MasterData[],3,0)</f>
        <v>Category02</v>
      </c>
      <c r="I190" t="str">
        <f>VLOOKUP(InputData4[[#This Row],[PRODUCT ID]],MasterData[],4,0)</f>
        <v>Ft</v>
      </c>
      <c r="J190" s="9">
        <f>VLOOKUP(InputData4[[#This Row],[PRODUCT ID]],MasterData[],5,0)</f>
        <v>150</v>
      </c>
      <c r="K190" s="9">
        <f>VLOOKUP(InputData4[[#This Row],[PRODUCT ID]],MasterData[],6,0)</f>
        <v>210</v>
      </c>
      <c r="L190" s="9">
        <f>InputData4[[#This Row],[QUANTITY]]*InputData4[[#This Row],[BUYING PRIZE]]</f>
        <v>750</v>
      </c>
      <c r="M190" s="9">
        <f>InputData4[[#This Row],[QUANTITY]]*InputData4[[#This Row],[SELLING PRICE]]*(1-InputData4[[#This Row],[DISCOUNT %]])</f>
        <v>1050</v>
      </c>
      <c r="N190" s="7">
        <f>DAY(InputData4[[#This Row],[DATE]])</f>
        <v>7</v>
      </c>
      <c r="O190" s="7">
        <f>MONTH(InputData4[[#This Row],[DATE]])</f>
        <v>9</v>
      </c>
      <c r="P190" s="7">
        <f>YEAR(InputData4[[#This Row],[DATE]])</f>
        <v>2021</v>
      </c>
    </row>
    <row r="191" spans="1:16" x14ac:dyDescent="0.3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  <c r="G191" t="str">
        <f>VLOOKUP(InputData4[[#This Row],[PRODUCT ID]],MasterData[],2,0)</f>
        <v>Product44</v>
      </c>
      <c r="H191" t="str">
        <f>VLOOKUP(InputData4[[#This Row],[PRODUCT ID]],MasterData[],3,0)</f>
        <v>Category05</v>
      </c>
      <c r="I191" t="str">
        <f>VLOOKUP(InputData4[[#This Row],[PRODUCT ID]],MasterData[],4,0)</f>
        <v>Kg</v>
      </c>
      <c r="J191" s="9">
        <f>VLOOKUP(InputData4[[#This Row],[PRODUCT ID]],MasterData[],5,0)</f>
        <v>76</v>
      </c>
      <c r="K191" s="9">
        <f>VLOOKUP(InputData4[[#This Row],[PRODUCT ID]],MasterData[],6,0)</f>
        <v>82.08</v>
      </c>
      <c r="L191" s="9">
        <f>InputData4[[#This Row],[QUANTITY]]*InputData4[[#This Row],[BUYING PRIZE]]</f>
        <v>304</v>
      </c>
      <c r="M191" s="9">
        <f>InputData4[[#This Row],[QUANTITY]]*InputData4[[#This Row],[SELLING PRICE]]*(1-InputData4[[#This Row],[DISCOUNT %]])</f>
        <v>328.32</v>
      </c>
      <c r="N191" s="7">
        <f>DAY(InputData4[[#This Row],[DATE]])</f>
        <v>9</v>
      </c>
      <c r="O191" s="7">
        <f>MONTH(InputData4[[#This Row],[DATE]])</f>
        <v>9</v>
      </c>
      <c r="P191" s="7">
        <f>YEAR(InputData4[[#This Row],[DATE]])</f>
        <v>2021</v>
      </c>
    </row>
    <row r="192" spans="1:16" x14ac:dyDescent="0.3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  <c r="G192" t="str">
        <f>VLOOKUP(InputData4[[#This Row],[PRODUCT ID]],MasterData[],2,0)</f>
        <v>Product30</v>
      </c>
      <c r="H192" t="str">
        <f>VLOOKUP(InputData4[[#This Row],[PRODUCT ID]],MasterData[],3,0)</f>
        <v>Category04</v>
      </c>
      <c r="I192" t="str">
        <f>VLOOKUP(InputData4[[#This Row],[PRODUCT ID]],MasterData[],4,0)</f>
        <v>Ft</v>
      </c>
      <c r="J192" s="9">
        <f>VLOOKUP(InputData4[[#This Row],[PRODUCT ID]],MasterData[],5,0)</f>
        <v>148</v>
      </c>
      <c r="K192" s="9">
        <f>VLOOKUP(InputData4[[#This Row],[PRODUCT ID]],MasterData[],6,0)</f>
        <v>201.28</v>
      </c>
      <c r="L192" s="9">
        <f>InputData4[[#This Row],[QUANTITY]]*InputData4[[#This Row],[BUYING PRIZE]]</f>
        <v>888</v>
      </c>
      <c r="M192" s="9">
        <f>InputData4[[#This Row],[QUANTITY]]*InputData4[[#This Row],[SELLING PRICE]]*(1-InputData4[[#This Row],[DISCOUNT %]])</f>
        <v>1207.68</v>
      </c>
      <c r="N192" s="7">
        <f>DAY(InputData4[[#This Row],[DATE]])</f>
        <v>10</v>
      </c>
      <c r="O192" s="7">
        <f>MONTH(InputData4[[#This Row],[DATE]])</f>
        <v>9</v>
      </c>
      <c r="P192" s="7">
        <f>YEAR(InputData4[[#This Row],[DATE]])</f>
        <v>2021</v>
      </c>
    </row>
    <row r="193" spans="1:16" x14ac:dyDescent="0.3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  <c r="G193" t="str">
        <f>VLOOKUP(InputData4[[#This Row],[PRODUCT ID]],MasterData[],2,0)</f>
        <v>Product01</v>
      </c>
      <c r="H193" t="str">
        <f>VLOOKUP(InputData4[[#This Row],[PRODUCT ID]],MasterData[],3,0)</f>
        <v>Category01</v>
      </c>
      <c r="I193" t="str">
        <f>VLOOKUP(InputData4[[#This Row],[PRODUCT ID]],MasterData[],4,0)</f>
        <v>Kg</v>
      </c>
      <c r="J193" s="9">
        <f>VLOOKUP(InputData4[[#This Row],[PRODUCT ID]],MasterData[],5,0)</f>
        <v>98</v>
      </c>
      <c r="K193" s="9">
        <f>VLOOKUP(InputData4[[#This Row],[PRODUCT ID]],MasterData[],6,0)</f>
        <v>103.88</v>
      </c>
      <c r="L193" s="9">
        <f>InputData4[[#This Row],[QUANTITY]]*InputData4[[#This Row],[BUYING PRIZE]]</f>
        <v>882</v>
      </c>
      <c r="M193" s="9">
        <f>InputData4[[#This Row],[QUANTITY]]*InputData4[[#This Row],[SELLING PRICE]]*(1-InputData4[[#This Row],[DISCOUNT %]])</f>
        <v>934.92</v>
      </c>
      <c r="N193" s="7">
        <f>DAY(InputData4[[#This Row],[DATE]])</f>
        <v>10</v>
      </c>
      <c r="O193" s="7">
        <f>MONTH(InputData4[[#This Row],[DATE]])</f>
        <v>9</v>
      </c>
      <c r="P193" s="7">
        <f>YEAR(InputData4[[#This Row],[DATE]])</f>
        <v>2021</v>
      </c>
    </row>
    <row r="194" spans="1:16" x14ac:dyDescent="0.3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  <c r="G194" t="str">
        <f>VLOOKUP(InputData4[[#This Row],[PRODUCT ID]],MasterData[],2,0)</f>
        <v>Product26</v>
      </c>
      <c r="H194" t="str">
        <f>VLOOKUP(InputData4[[#This Row],[PRODUCT ID]],MasterData[],3,0)</f>
        <v>Category04</v>
      </c>
      <c r="I194" t="str">
        <f>VLOOKUP(InputData4[[#This Row],[PRODUCT ID]],MasterData[],4,0)</f>
        <v>No.</v>
      </c>
      <c r="J194" s="9">
        <f>VLOOKUP(InputData4[[#This Row],[PRODUCT ID]],MasterData[],5,0)</f>
        <v>18</v>
      </c>
      <c r="K194" s="9">
        <f>VLOOKUP(InputData4[[#This Row],[PRODUCT ID]],MasterData[],6,0)</f>
        <v>24.66</v>
      </c>
      <c r="L194" s="9">
        <f>InputData4[[#This Row],[QUANTITY]]*InputData4[[#This Row],[BUYING PRIZE]]</f>
        <v>36</v>
      </c>
      <c r="M194" s="9">
        <f>InputData4[[#This Row],[QUANTITY]]*InputData4[[#This Row],[SELLING PRICE]]*(1-InputData4[[#This Row],[DISCOUNT %]])</f>
        <v>49.32</v>
      </c>
      <c r="N194" s="7">
        <f>DAY(InputData4[[#This Row],[DATE]])</f>
        <v>10</v>
      </c>
      <c r="O194" s="7">
        <f>MONTH(InputData4[[#This Row],[DATE]])</f>
        <v>9</v>
      </c>
      <c r="P194" s="7">
        <f>YEAR(InputData4[[#This Row],[DATE]])</f>
        <v>2021</v>
      </c>
    </row>
    <row r="195" spans="1:16" x14ac:dyDescent="0.3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  <c r="G195" t="str">
        <f>VLOOKUP(InputData4[[#This Row],[PRODUCT ID]],MasterData[],2,0)</f>
        <v>Product01</v>
      </c>
      <c r="H195" t="str">
        <f>VLOOKUP(InputData4[[#This Row],[PRODUCT ID]],MasterData[],3,0)</f>
        <v>Category01</v>
      </c>
      <c r="I195" t="str">
        <f>VLOOKUP(InputData4[[#This Row],[PRODUCT ID]],MasterData[],4,0)</f>
        <v>Kg</v>
      </c>
      <c r="J195" s="9">
        <f>VLOOKUP(InputData4[[#This Row],[PRODUCT ID]],MasterData[],5,0)</f>
        <v>98</v>
      </c>
      <c r="K195" s="9">
        <f>VLOOKUP(InputData4[[#This Row],[PRODUCT ID]],MasterData[],6,0)</f>
        <v>103.88</v>
      </c>
      <c r="L195" s="9">
        <f>InputData4[[#This Row],[QUANTITY]]*InputData4[[#This Row],[BUYING PRIZE]]</f>
        <v>588</v>
      </c>
      <c r="M195" s="9">
        <f>InputData4[[#This Row],[QUANTITY]]*InputData4[[#This Row],[SELLING PRICE]]*(1-InputData4[[#This Row],[DISCOUNT %]])</f>
        <v>623.28</v>
      </c>
      <c r="N195" s="7">
        <f>DAY(InputData4[[#This Row],[DATE]])</f>
        <v>11</v>
      </c>
      <c r="O195" s="7">
        <f>MONTH(InputData4[[#This Row],[DATE]])</f>
        <v>9</v>
      </c>
      <c r="P195" s="7">
        <f>YEAR(InputData4[[#This Row],[DATE]])</f>
        <v>2021</v>
      </c>
    </row>
    <row r="196" spans="1:16" x14ac:dyDescent="0.3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  <c r="G196" t="str">
        <f>VLOOKUP(InputData4[[#This Row],[PRODUCT ID]],MasterData[],2,0)</f>
        <v>Product41</v>
      </c>
      <c r="H196" t="str">
        <f>VLOOKUP(InputData4[[#This Row],[PRODUCT ID]],MasterData[],3,0)</f>
        <v>Category05</v>
      </c>
      <c r="I196" t="str">
        <f>VLOOKUP(InputData4[[#This Row],[PRODUCT ID]],MasterData[],4,0)</f>
        <v>Ft</v>
      </c>
      <c r="J196" s="9">
        <f>VLOOKUP(InputData4[[#This Row],[PRODUCT ID]],MasterData[],5,0)</f>
        <v>138</v>
      </c>
      <c r="K196" s="9">
        <f>VLOOKUP(InputData4[[#This Row],[PRODUCT ID]],MasterData[],6,0)</f>
        <v>173.88</v>
      </c>
      <c r="L196" s="9">
        <f>InputData4[[#This Row],[QUANTITY]]*InputData4[[#This Row],[BUYING PRIZE]]</f>
        <v>966</v>
      </c>
      <c r="M196" s="9">
        <f>InputData4[[#This Row],[QUANTITY]]*InputData4[[#This Row],[SELLING PRICE]]*(1-InputData4[[#This Row],[DISCOUNT %]])</f>
        <v>1217.1599999999999</v>
      </c>
      <c r="N196" s="7">
        <f>DAY(InputData4[[#This Row],[DATE]])</f>
        <v>13</v>
      </c>
      <c r="O196" s="7">
        <f>MONTH(InputData4[[#This Row],[DATE]])</f>
        <v>9</v>
      </c>
      <c r="P196" s="7">
        <f>YEAR(InputData4[[#This Row],[DATE]])</f>
        <v>2021</v>
      </c>
    </row>
    <row r="197" spans="1:16" x14ac:dyDescent="0.3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  <c r="G197" t="str">
        <f>VLOOKUP(InputData4[[#This Row],[PRODUCT ID]],MasterData[],2,0)</f>
        <v>Product42</v>
      </c>
      <c r="H197" t="str">
        <f>VLOOKUP(InputData4[[#This Row],[PRODUCT ID]],MasterData[],3,0)</f>
        <v>Category05</v>
      </c>
      <c r="I197" t="str">
        <f>VLOOKUP(InputData4[[#This Row],[PRODUCT ID]],MasterData[],4,0)</f>
        <v>Ft</v>
      </c>
      <c r="J197" s="9">
        <f>VLOOKUP(InputData4[[#This Row],[PRODUCT ID]],MasterData[],5,0)</f>
        <v>120</v>
      </c>
      <c r="K197" s="9">
        <f>VLOOKUP(InputData4[[#This Row],[PRODUCT ID]],MasterData[],6,0)</f>
        <v>162</v>
      </c>
      <c r="L197" s="9">
        <f>InputData4[[#This Row],[QUANTITY]]*InputData4[[#This Row],[BUYING PRIZE]]</f>
        <v>720</v>
      </c>
      <c r="M197" s="9">
        <f>InputData4[[#This Row],[QUANTITY]]*InputData4[[#This Row],[SELLING PRICE]]*(1-InputData4[[#This Row],[DISCOUNT %]])</f>
        <v>972</v>
      </c>
      <c r="N197" s="7">
        <f>DAY(InputData4[[#This Row],[DATE]])</f>
        <v>15</v>
      </c>
      <c r="O197" s="7">
        <f>MONTH(InputData4[[#This Row],[DATE]])</f>
        <v>9</v>
      </c>
      <c r="P197" s="7">
        <f>YEAR(InputData4[[#This Row],[DATE]])</f>
        <v>2021</v>
      </c>
    </row>
    <row r="198" spans="1:16" x14ac:dyDescent="0.3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  <c r="G198" t="str">
        <f>VLOOKUP(InputData4[[#This Row],[PRODUCT ID]],MasterData[],2,0)</f>
        <v>Product42</v>
      </c>
      <c r="H198" t="str">
        <f>VLOOKUP(InputData4[[#This Row],[PRODUCT ID]],MasterData[],3,0)</f>
        <v>Category05</v>
      </c>
      <c r="I198" t="str">
        <f>VLOOKUP(InputData4[[#This Row],[PRODUCT ID]],MasterData[],4,0)</f>
        <v>Ft</v>
      </c>
      <c r="J198" s="9">
        <f>VLOOKUP(InputData4[[#This Row],[PRODUCT ID]],MasterData[],5,0)</f>
        <v>120</v>
      </c>
      <c r="K198" s="9">
        <f>VLOOKUP(InputData4[[#This Row],[PRODUCT ID]],MasterData[],6,0)</f>
        <v>162</v>
      </c>
      <c r="L198" s="9">
        <f>InputData4[[#This Row],[QUANTITY]]*InputData4[[#This Row],[BUYING PRIZE]]</f>
        <v>1680</v>
      </c>
      <c r="M198" s="9">
        <f>InputData4[[#This Row],[QUANTITY]]*InputData4[[#This Row],[SELLING PRICE]]*(1-InputData4[[#This Row],[DISCOUNT %]])</f>
        <v>2268</v>
      </c>
      <c r="N198" s="7">
        <f>DAY(InputData4[[#This Row],[DATE]])</f>
        <v>15</v>
      </c>
      <c r="O198" s="7">
        <f>MONTH(InputData4[[#This Row],[DATE]])</f>
        <v>9</v>
      </c>
      <c r="P198" s="7">
        <f>YEAR(InputData4[[#This Row],[DATE]])</f>
        <v>2021</v>
      </c>
    </row>
    <row r="199" spans="1:16" x14ac:dyDescent="0.3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  <c r="G199" t="str">
        <f>VLOOKUP(InputData4[[#This Row],[PRODUCT ID]],MasterData[],2,0)</f>
        <v>Product20</v>
      </c>
      <c r="H199" t="str">
        <f>VLOOKUP(InputData4[[#This Row],[PRODUCT ID]],MasterData[],3,0)</f>
        <v>Category03</v>
      </c>
      <c r="I199" t="str">
        <f>VLOOKUP(InputData4[[#This Row],[PRODUCT ID]],MasterData[],4,0)</f>
        <v>Lt</v>
      </c>
      <c r="J199" s="9">
        <f>VLOOKUP(InputData4[[#This Row],[PRODUCT ID]],MasterData[],5,0)</f>
        <v>61</v>
      </c>
      <c r="K199" s="9">
        <f>VLOOKUP(InputData4[[#This Row],[PRODUCT ID]],MasterData[],6,0)</f>
        <v>76.25</v>
      </c>
      <c r="L199" s="9">
        <f>InputData4[[#This Row],[QUANTITY]]*InputData4[[#This Row],[BUYING PRIZE]]</f>
        <v>427</v>
      </c>
      <c r="M199" s="9">
        <f>InputData4[[#This Row],[QUANTITY]]*InputData4[[#This Row],[SELLING PRICE]]*(1-InputData4[[#This Row],[DISCOUNT %]])</f>
        <v>533.75</v>
      </c>
      <c r="N199" s="7">
        <f>DAY(InputData4[[#This Row],[DATE]])</f>
        <v>21</v>
      </c>
      <c r="O199" s="7">
        <f>MONTH(InputData4[[#This Row],[DATE]])</f>
        <v>9</v>
      </c>
      <c r="P199" s="7">
        <f>YEAR(InputData4[[#This Row],[DATE]])</f>
        <v>2021</v>
      </c>
    </row>
    <row r="200" spans="1:16" x14ac:dyDescent="0.3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  <c r="G200" t="str">
        <f>VLOOKUP(InputData4[[#This Row],[PRODUCT ID]],MasterData[],2,0)</f>
        <v>Product40</v>
      </c>
      <c r="H200" t="str">
        <f>VLOOKUP(InputData4[[#This Row],[PRODUCT ID]],MasterData[],3,0)</f>
        <v>Category05</v>
      </c>
      <c r="I200" t="str">
        <f>VLOOKUP(InputData4[[#This Row],[PRODUCT ID]],MasterData[],4,0)</f>
        <v>Kg</v>
      </c>
      <c r="J200" s="9">
        <f>VLOOKUP(InputData4[[#This Row],[PRODUCT ID]],MasterData[],5,0)</f>
        <v>90</v>
      </c>
      <c r="K200" s="9">
        <f>VLOOKUP(InputData4[[#This Row],[PRODUCT ID]],MasterData[],6,0)</f>
        <v>115.2</v>
      </c>
      <c r="L200" s="9">
        <f>InputData4[[#This Row],[QUANTITY]]*InputData4[[#This Row],[BUYING PRIZE]]</f>
        <v>180</v>
      </c>
      <c r="M200" s="9">
        <f>InputData4[[#This Row],[QUANTITY]]*InputData4[[#This Row],[SELLING PRICE]]*(1-InputData4[[#This Row],[DISCOUNT %]])</f>
        <v>230.4</v>
      </c>
      <c r="N200" s="7">
        <f>DAY(InputData4[[#This Row],[DATE]])</f>
        <v>22</v>
      </c>
      <c r="O200" s="7">
        <f>MONTH(InputData4[[#This Row],[DATE]])</f>
        <v>9</v>
      </c>
      <c r="P200" s="7">
        <f>YEAR(InputData4[[#This Row],[DATE]])</f>
        <v>2021</v>
      </c>
    </row>
    <row r="201" spans="1:16" x14ac:dyDescent="0.3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  <c r="G201" t="str">
        <f>VLOOKUP(InputData4[[#This Row],[PRODUCT ID]],MasterData[],2,0)</f>
        <v>Product02</v>
      </c>
      <c r="H201" t="str">
        <f>VLOOKUP(InputData4[[#This Row],[PRODUCT ID]],MasterData[],3,0)</f>
        <v>Category01</v>
      </c>
      <c r="I201" t="str">
        <f>VLOOKUP(InputData4[[#This Row],[PRODUCT ID]],MasterData[],4,0)</f>
        <v>Kg</v>
      </c>
      <c r="J201" s="9">
        <f>VLOOKUP(InputData4[[#This Row],[PRODUCT ID]],MasterData[],5,0)</f>
        <v>105</v>
      </c>
      <c r="K201" s="9">
        <f>VLOOKUP(InputData4[[#This Row],[PRODUCT ID]],MasterData[],6,0)</f>
        <v>142.80000000000001</v>
      </c>
      <c r="L201" s="9">
        <f>InputData4[[#This Row],[QUANTITY]]*InputData4[[#This Row],[BUYING PRIZE]]</f>
        <v>420</v>
      </c>
      <c r="M201" s="9">
        <f>InputData4[[#This Row],[QUANTITY]]*InputData4[[#This Row],[SELLING PRICE]]*(1-InputData4[[#This Row],[DISCOUNT %]])</f>
        <v>571.20000000000005</v>
      </c>
      <c r="N201" s="7">
        <f>DAY(InputData4[[#This Row],[DATE]])</f>
        <v>22</v>
      </c>
      <c r="O201" s="7">
        <f>MONTH(InputData4[[#This Row],[DATE]])</f>
        <v>9</v>
      </c>
      <c r="P201" s="7">
        <f>YEAR(InputData4[[#This Row],[DATE]])</f>
        <v>2021</v>
      </c>
    </row>
    <row r="202" spans="1:16" x14ac:dyDescent="0.3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  <c r="G202" t="str">
        <f>VLOOKUP(InputData4[[#This Row],[PRODUCT ID]],MasterData[],2,0)</f>
        <v>Product18</v>
      </c>
      <c r="H202" t="str">
        <f>VLOOKUP(InputData4[[#This Row],[PRODUCT ID]],MasterData[],3,0)</f>
        <v>Category02</v>
      </c>
      <c r="I202" t="str">
        <f>VLOOKUP(InputData4[[#This Row],[PRODUCT ID]],MasterData[],4,0)</f>
        <v>No.</v>
      </c>
      <c r="J202" s="9">
        <f>VLOOKUP(InputData4[[#This Row],[PRODUCT ID]],MasterData[],5,0)</f>
        <v>37</v>
      </c>
      <c r="K202" s="9">
        <f>VLOOKUP(InputData4[[#This Row],[PRODUCT ID]],MasterData[],6,0)</f>
        <v>49.21</v>
      </c>
      <c r="L202" s="9">
        <f>InputData4[[#This Row],[QUANTITY]]*InputData4[[#This Row],[BUYING PRIZE]]</f>
        <v>444</v>
      </c>
      <c r="M202" s="9">
        <f>InputData4[[#This Row],[QUANTITY]]*InputData4[[#This Row],[SELLING PRICE]]*(1-InputData4[[#This Row],[DISCOUNT %]])</f>
        <v>590.52</v>
      </c>
      <c r="N202" s="7">
        <f>DAY(InputData4[[#This Row],[DATE]])</f>
        <v>23</v>
      </c>
      <c r="O202" s="7">
        <f>MONTH(InputData4[[#This Row],[DATE]])</f>
        <v>9</v>
      </c>
      <c r="P202" s="7">
        <f>YEAR(InputData4[[#This Row],[DATE]])</f>
        <v>2021</v>
      </c>
    </row>
    <row r="203" spans="1:16" x14ac:dyDescent="0.3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  <c r="G203" t="str">
        <f>VLOOKUP(InputData4[[#This Row],[PRODUCT ID]],MasterData[],2,0)</f>
        <v>Product21</v>
      </c>
      <c r="H203" t="str">
        <f>VLOOKUP(InputData4[[#This Row],[PRODUCT ID]],MasterData[],3,0)</f>
        <v>Category03</v>
      </c>
      <c r="I203" t="str">
        <f>VLOOKUP(InputData4[[#This Row],[PRODUCT ID]],MasterData[],4,0)</f>
        <v>Ft</v>
      </c>
      <c r="J203" s="9">
        <f>VLOOKUP(InputData4[[#This Row],[PRODUCT ID]],MasterData[],5,0)</f>
        <v>126</v>
      </c>
      <c r="K203" s="9">
        <f>VLOOKUP(InputData4[[#This Row],[PRODUCT ID]],MasterData[],6,0)</f>
        <v>162.54</v>
      </c>
      <c r="L203" s="9">
        <f>InputData4[[#This Row],[QUANTITY]]*InputData4[[#This Row],[BUYING PRIZE]]</f>
        <v>882</v>
      </c>
      <c r="M203" s="9">
        <f>InputData4[[#This Row],[QUANTITY]]*InputData4[[#This Row],[SELLING PRICE]]*(1-InputData4[[#This Row],[DISCOUNT %]])</f>
        <v>1137.78</v>
      </c>
      <c r="N203" s="7">
        <f>DAY(InputData4[[#This Row],[DATE]])</f>
        <v>23</v>
      </c>
      <c r="O203" s="7">
        <f>MONTH(InputData4[[#This Row],[DATE]])</f>
        <v>9</v>
      </c>
      <c r="P203" s="7">
        <f>YEAR(InputData4[[#This Row],[DATE]])</f>
        <v>2021</v>
      </c>
    </row>
    <row r="204" spans="1:16" x14ac:dyDescent="0.3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  <c r="G204" t="str">
        <f>VLOOKUP(InputData4[[#This Row],[PRODUCT ID]],MasterData[],2,0)</f>
        <v>Product34</v>
      </c>
      <c r="H204" t="str">
        <f>VLOOKUP(InputData4[[#This Row],[PRODUCT ID]],MasterData[],3,0)</f>
        <v>Category04</v>
      </c>
      <c r="I204" t="str">
        <f>VLOOKUP(InputData4[[#This Row],[PRODUCT ID]],MasterData[],4,0)</f>
        <v>Lt</v>
      </c>
      <c r="J204" s="9">
        <f>VLOOKUP(InputData4[[#This Row],[PRODUCT ID]],MasterData[],5,0)</f>
        <v>55</v>
      </c>
      <c r="K204" s="9">
        <f>VLOOKUP(InputData4[[#This Row],[PRODUCT ID]],MasterData[],6,0)</f>
        <v>58.3</v>
      </c>
      <c r="L204" s="9">
        <f>InputData4[[#This Row],[QUANTITY]]*InputData4[[#This Row],[BUYING PRIZE]]</f>
        <v>55</v>
      </c>
      <c r="M204" s="9">
        <f>InputData4[[#This Row],[QUANTITY]]*InputData4[[#This Row],[SELLING PRICE]]*(1-InputData4[[#This Row],[DISCOUNT %]])</f>
        <v>58.3</v>
      </c>
      <c r="N204" s="7">
        <f>DAY(InputData4[[#This Row],[DATE]])</f>
        <v>27</v>
      </c>
      <c r="O204" s="7">
        <f>MONTH(InputData4[[#This Row],[DATE]])</f>
        <v>9</v>
      </c>
      <c r="P204" s="7">
        <f>YEAR(InputData4[[#This Row],[DATE]])</f>
        <v>2021</v>
      </c>
    </row>
    <row r="205" spans="1:16" x14ac:dyDescent="0.3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  <c r="G205" t="str">
        <f>VLOOKUP(InputData4[[#This Row],[PRODUCT ID]],MasterData[],2,0)</f>
        <v>Product14</v>
      </c>
      <c r="H205" t="str">
        <f>VLOOKUP(InputData4[[#This Row],[PRODUCT ID]],MasterData[],3,0)</f>
        <v>Category02</v>
      </c>
      <c r="I205" t="str">
        <f>VLOOKUP(InputData4[[#This Row],[PRODUCT ID]],MasterData[],4,0)</f>
        <v>Kg</v>
      </c>
      <c r="J205" s="9">
        <f>VLOOKUP(InputData4[[#This Row],[PRODUCT ID]],MasterData[],5,0)</f>
        <v>112</v>
      </c>
      <c r="K205" s="9">
        <f>VLOOKUP(InputData4[[#This Row],[PRODUCT ID]],MasterData[],6,0)</f>
        <v>146.72</v>
      </c>
      <c r="L205" s="9">
        <f>InputData4[[#This Row],[QUANTITY]]*InputData4[[#This Row],[BUYING PRIZE]]</f>
        <v>1008</v>
      </c>
      <c r="M205" s="9">
        <f>InputData4[[#This Row],[QUANTITY]]*InputData4[[#This Row],[SELLING PRICE]]*(1-InputData4[[#This Row],[DISCOUNT %]])</f>
        <v>1320.48</v>
      </c>
      <c r="N205" s="7">
        <f>DAY(InputData4[[#This Row],[DATE]])</f>
        <v>30</v>
      </c>
      <c r="O205" s="7">
        <f>MONTH(InputData4[[#This Row],[DATE]])</f>
        <v>9</v>
      </c>
      <c r="P205" s="7">
        <f>YEAR(InputData4[[#This Row],[DATE]])</f>
        <v>2021</v>
      </c>
    </row>
    <row r="206" spans="1:16" x14ac:dyDescent="0.3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  <c r="G206" t="str">
        <f>VLOOKUP(InputData4[[#This Row],[PRODUCT ID]],MasterData[],2,0)</f>
        <v>Product06</v>
      </c>
      <c r="H206" t="str">
        <f>VLOOKUP(InputData4[[#This Row],[PRODUCT ID]],MasterData[],3,0)</f>
        <v>Category01</v>
      </c>
      <c r="I206" t="str">
        <f>VLOOKUP(InputData4[[#This Row],[PRODUCT ID]],MasterData[],4,0)</f>
        <v>Kg</v>
      </c>
      <c r="J206" s="9">
        <f>VLOOKUP(InputData4[[#This Row],[PRODUCT ID]],MasterData[],5,0)</f>
        <v>75</v>
      </c>
      <c r="K206" s="9">
        <f>VLOOKUP(InputData4[[#This Row],[PRODUCT ID]],MasterData[],6,0)</f>
        <v>85.5</v>
      </c>
      <c r="L206" s="9">
        <f>InputData4[[#This Row],[QUANTITY]]*InputData4[[#This Row],[BUYING PRIZE]]</f>
        <v>375</v>
      </c>
      <c r="M206" s="9">
        <f>InputData4[[#This Row],[QUANTITY]]*InputData4[[#This Row],[SELLING PRICE]]*(1-InputData4[[#This Row],[DISCOUNT %]])</f>
        <v>427.5</v>
      </c>
      <c r="N206" s="7">
        <f>DAY(InputData4[[#This Row],[DATE]])</f>
        <v>30</v>
      </c>
      <c r="O206" s="7">
        <f>MONTH(InputData4[[#This Row],[DATE]])</f>
        <v>9</v>
      </c>
      <c r="P206" s="7">
        <f>YEAR(InputData4[[#This Row],[DATE]])</f>
        <v>2021</v>
      </c>
    </row>
    <row r="207" spans="1:16" x14ac:dyDescent="0.3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  <c r="G207" t="str">
        <f>VLOOKUP(InputData4[[#This Row],[PRODUCT ID]],MasterData[],2,0)</f>
        <v>Product30</v>
      </c>
      <c r="H207" t="str">
        <f>VLOOKUP(InputData4[[#This Row],[PRODUCT ID]],MasterData[],3,0)</f>
        <v>Category04</v>
      </c>
      <c r="I207" t="str">
        <f>VLOOKUP(InputData4[[#This Row],[PRODUCT ID]],MasterData[],4,0)</f>
        <v>Ft</v>
      </c>
      <c r="J207" s="9">
        <f>VLOOKUP(InputData4[[#This Row],[PRODUCT ID]],MasterData[],5,0)</f>
        <v>148</v>
      </c>
      <c r="K207" s="9">
        <f>VLOOKUP(InputData4[[#This Row],[PRODUCT ID]],MasterData[],6,0)</f>
        <v>201.28</v>
      </c>
      <c r="L207" s="9">
        <f>InputData4[[#This Row],[QUANTITY]]*InputData4[[#This Row],[BUYING PRIZE]]</f>
        <v>2072</v>
      </c>
      <c r="M207" s="9">
        <f>InputData4[[#This Row],[QUANTITY]]*InputData4[[#This Row],[SELLING PRICE]]*(1-InputData4[[#This Row],[DISCOUNT %]])</f>
        <v>2817.92</v>
      </c>
      <c r="N207" s="7">
        <f>DAY(InputData4[[#This Row],[DATE]])</f>
        <v>1</v>
      </c>
      <c r="O207" s="7">
        <f>MONTH(InputData4[[#This Row],[DATE]])</f>
        <v>10</v>
      </c>
      <c r="P207" s="7">
        <f>YEAR(InputData4[[#This Row],[DATE]])</f>
        <v>2021</v>
      </c>
    </row>
    <row r="208" spans="1:16" x14ac:dyDescent="0.3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  <c r="G208" t="str">
        <f>VLOOKUP(InputData4[[#This Row],[PRODUCT ID]],MasterData[],2,0)</f>
        <v>Product14</v>
      </c>
      <c r="H208" t="str">
        <f>VLOOKUP(InputData4[[#This Row],[PRODUCT ID]],MasterData[],3,0)</f>
        <v>Category02</v>
      </c>
      <c r="I208" t="str">
        <f>VLOOKUP(InputData4[[#This Row],[PRODUCT ID]],MasterData[],4,0)</f>
        <v>Kg</v>
      </c>
      <c r="J208" s="9">
        <f>VLOOKUP(InputData4[[#This Row],[PRODUCT ID]],MasterData[],5,0)</f>
        <v>112</v>
      </c>
      <c r="K208" s="9">
        <f>VLOOKUP(InputData4[[#This Row],[PRODUCT ID]],MasterData[],6,0)</f>
        <v>146.72</v>
      </c>
      <c r="L208" s="9">
        <f>InputData4[[#This Row],[QUANTITY]]*InputData4[[#This Row],[BUYING PRIZE]]</f>
        <v>1680</v>
      </c>
      <c r="M208" s="9">
        <f>InputData4[[#This Row],[QUANTITY]]*InputData4[[#This Row],[SELLING PRICE]]*(1-InputData4[[#This Row],[DISCOUNT %]])</f>
        <v>2200.8000000000002</v>
      </c>
      <c r="N208" s="7">
        <f>DAY(InputData4[[#This Row],[DATE]])</f>
        <v>2</v>
      </c>
      <c r="O208" s="7">
        <f>MONTH(InputData4[[#This Row],[DATE]])</f>
        <v>10</v>
      </c>
      <c r="P208" s="7">
        <f>YEAR(InputData4[[#This Row],[DATE]])</f>
        <v>2021</v>
      </c>
    </row>
    <row r="209" spans="1:16" x14ac:dyDescent="0.3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  <c r="G209" t="str">
        <f>VLOOKUP(InputData4[[#This Row],[PRODUCT ID]],MasterData[],2,0)</f>
        <v>Product19</v>
      </c>
      <c r="H209" t="str">
        <f>VLOOKUP(InputData4[[#This Row],[PRODUCT ID]],MasterData[],3,0)</f>
        <v>Category02</v>
      </c>
      <c r="I209" t="str">
        <f>VLOOKUP(InputData4[[#This Row],[PRODUCT ID]],MasterData[],4,0)</f>
        <v>Ft</v>
      </c>
      <c r="J209" s="9">
        <f>VLOOKUP(InputData4[[#This Row],[PRODUCT ID]],MasterData[],5,0)</f>
        <v>150</v>
      </c>
      <c r="K209" s="9">
        <f>VLOOKUP(InputData4[[#This Row],[PRODUCT ID]],MasterData[],6,0)</f>
        <v>210</v>
      </c>
      <c r="L209" s="9">
        <f>InputData4[[#This Row],[QUANTITY]]*InputData4[[#This Row],[BUYING PRIZE]]</f>
        <v>1350</v>
      </c>
      <c r="M209" s="9">
        <f>InputData4[[#This Row],[QUANTITY]]*InputData4[[#This Row],[SELLING PRICE]]*(1-InputData4[[#This Row],[DISCOUNT %]])</f>
        <v>1890</v>
      </c>
      <c r="N209" s="7">
        <f>DAY(InputData4[[#This Row],[DATE]])</f>
        <v>3</v>
      </c>
      <c r="O209" s="7">
        <f>MONTH(InputData4[[#This Row],[DATE]])</f>
        <v>10</v>
      </c>
      <c r="P209" s="7">
        <f>YEAR(InputData4[[#This Row],[DATE]])</f>
        <v>2021</v>
      </c>
    </row>
    <row r="210" spans="1:16" x14ac:dyDescent="0.3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  <c r="G210" t="str">
        <f>VLOOKUP(InputData4[[#This Row],[PRODUCT ID]],MasterData[],2,0)</f>
        <v>Product35</v>
      </c>
      <c r="H210" t="str">
        <f>VLOOKUP(InputData4[[#This Row],[PRODUCT ID]],MasterData[],3,0)</f>
        <v>Category04</v>
      </c>
      <c r="I210" t="str">
        <f>VLOOKUP(InputData4[[#This Row],[PRODUCT ID]],MasterData[],4,0)</f>
        <v>No.</v>
      </c>
      <c r="J210" s="9">
        <f>VLOOKUP(InputData4[[#This Row],[PRODUCT ID]],MasterData[],5,0)</f>
        <v>5</v>
      </c>
      <c r="K210" s="9">
        <f>VLOOKUP(InputData4[[#This Row],[PRODUCT ID]],MasterData[],6,0)</f>
        <v>6.7</v>
      </c>
      <c r="L210" s="9">
        <f>InputData4[[#This Row],[QUANTITY]]*InputData4[[#This Row],[BUYING PRIZE]]</f>
        <v>5</v>
      </c>
      <c r="M210" s="9">
        <f>InputData4[[#This Row],[QUANTITY]]*InputData4[[#This Row],[SELLING PRICE]]*(1-InputData4[[#This Row],[DISCOUNT %]])</f>
        <v>6.7</v>
      </c>
      <c r="N210" s="7">
        <f>DAY(InputData4[[#This Row],[DATE]])</f>
        <v>6</v>
      </c>
      <c r="O210" s="7">
        <f>MONTH(InputData4[[#This Row],[DATE]])</f>
        <v>10</v>
      </c>
      <c r="P210" s="7">
        <f>YEAR(InputData4[[#This Row],[DATE]])</f>
        <v>2021</v>
      </c>
    </row>
    <row r="211" spans="1:16" x14ac:dyDescent="0.3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  <c r="G211" t="str">
        <f>VLOOKUP(InputData4[[#This Row],[PRODUCT ID]],MasterData[],2,0)</f>
        <v>Product36</v>
      </c>
      <c r="H211" t="str">
        <f>VLOOKUP(InputData4[[#This Row],[PRODUCT ID]],MasterData[],3,0)</f>
        <v>Category04</v>
      </c>
      <c r="I211" t="str">
        <f>VLOOKUP(InputData4[[#This Row],[PRODUCT ID]],MasterData[],4,0)</f>
        <v>Kg</v>
      </c>
      <c r="J211" s="9">
        <f>VLOOKUP(InputData4[[#This Row],[PRODUCT ID]],MasterData[],5,0)</f>
        <v>90</v>
      </c>
      <c r="K211" s="9">
        <f>VLOOKUP(InputData4[[#This Row],[PRODUCT ID]],MasterData[],6,0)</f>
        <v>96.3</v>
      </c>
      <c r="L211" s="9">
        <f>InputData4[[#This Row],[QUANTITY]]*InputData4[[#This Row],[BUYING PRIZE]]</f>
        <v>1080</v>
      </c>
      <c r="M211" s="9">
        <f>InputData4[[#This Row],[QUANTITY]]*InputData4[[#This Row],[SELLING PRICE]]*(1-InputData4[[#This Row],[DISCOUNT %]])</f>
        <v>1155.5999999999999</v>
      </c>
      <c r="N211" s="7">
        <f>DAY(InputData4[[#This Row],[DATE]])</f>
        <v>6</v>
      </c>
      <c r="O211" s="7">
        <f>MONTH(InputData4[[#This Row],[DATE]])</f>
        <v>10</v>
      </c>
      <c r="P211" s="7">
        <f>YEAR(InputData4[[#This Row],[DATE]])</f>
        <v>2021</v>
      </c>
    </row>
    <row r="212" spans="1:16" x14ac:dyDescent="0.3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  <c r="G212" t="str">
        <f>VLOOKUP(InputData4[[#This Row],[PRODUCT ID]],MasterData[],2,0)</f>
        <v>Product26</v>
      </c>
      <c r="H212" t="str">
        <f>VLOOKUP(InputData4[[#This Row],[PRODUCT ID]],MasterData[],3,0)</f>
        <v>Category04</v>
      </c>
      <c r="I212" t="str">
        <f>VLOOKUP(InputData4[[#This Row],[PRODUCT ID]],MasterData[],4,0)</f>
        <v>No.</v>
      </c>
      <c r="J212" s="9">
        <f>VLOOKUP(InputData4[[#This Row],[PRODUCT ID]],MasterData[],5,0)</f>
        <v>18</v>
      </c>
      <c r="K212" s="9">
        <f>VLOOKUP(InputData4[[#This Row],[PRODUCT ID]],MasterData[],6,0)</f>
        <v>24.66</v>
      </c>
      <c r="L212" s="9">
        <f>InputData4[[#This Row],[QUANTITY]]*InputData4[[#This Row],[BUYING PRIZE]]</f>
        <v>108</v>
      </c>
      <c r="M212" s="9">
        <f>InputData4[[#This Row],[QUANTITY]]*InputData4[[#This Row],[SELLING PRICE]]*(1-InputData4[[#This Row],[DISCOUNT %]])</f>
        <v>147.96</v>
      </c>
      <c r="N212" s="7">
        <f>DAY(InputData4[[#This Row],[DATE]])</f>
        <v>7</v>
      </c>
      <c r="O212" s="7">
        <f>MONTH(InputData4[[#This Row],[DATE]])</f>
        <v>10</v>
      </c>
      <c r="P212" s="7">
        <f>YEAR(InputData4[[#This Row],[DATE]])</f>
        <v>2021</v>
      </c>
    </row>
    <row r="213" spans="1:16" x14ac:dyDescent="0.3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  <c r="G213" t="str">
        <f>VLOOKUP(InputData4[[#This Row],[PRODUCT ID]],MasterData[],2,0)</f>
        <v>Product38</v>
      </c>
      <c r="H213" t="str">
        <f>VLOOKUP(InputData4[[#This Row],[PRODUCT ID]],MasterData[],3,0)</f>
        <v>Category05</v>
      </c>
      <c r="I213" t="str">
        <f>VLOOKUP(InputData4[[#This Row],[PRODUCT ID]],MasterData[],4,0)</f>
        <v>Kg</v>
      </c>
      <c r="J213" s="9">
        <f>VLOOKUP(InputData4[[#This Row],[PRODUCT ID]],MasterData[],5,0)</f>
        <v>72</v>
      </c>
      <c r="K213" s="9">
        <f>VLOOKUP(InputData4[[#This Row],[PRODUCT ID]],MasterData[],6,0)</f>
        <v>79.92</v>
      </c>
      <c r="L213" s="9">
        <f>InputData4[[#This Row],[QUANTITY]]*InputData4[[#This Row],[BUYING PRIZE]]</f>
        <v>360</v>
      </c>
      <c r="M213" s="9">
        <f>InputData4[[#This Row],[QUANTITY]]*InputData4[[#This Row],[SELLING PRICE]]*(1-InputData4[[#This Row],[DISCOUNT %]])</f>
        <v>399.6</v>
      </c>
      <c r="N213" s="7">
        <f>DAY(InputData4[[#This Row],[DATE]])</f>
        <v>9</v>
      </c>
      <c r="O213" s="7">
        <f>MONTH(InputData4[[#This Row],[DATE]])</f>
        <v>10</v>
      </c>
      <c r="P213" s="7">
        <f>YEAR(InputData4[[#This Row],[DATE]])</f>
        <v>2021</v>
      </c>
    </row>
    <row r="214" spans="1:16" x14ac:dyDescent="0.3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  <c r="G214" t="str">
        <f>VLOOKUP(InputData4[[#This Row],[PRODUCT ID]],MasterData[],2,0)</f>
        <v>Product32</v>
      </c>
      <c r="H214" t="str">
        <f>VLOOKUP(InputData4[[#This Row],[PRODUCT ID]],MasterData[],3,0)</f>
        <v>Category04</v>
      </c>
      <c r="I214" t="str">
        <f>VLOOKUP(InputData4[[#This Row],[PRODUCT ID]],MasterData[],4,0)</f>
        <v>Kg</v>
      </c>
      <c r="J214" s="9">
        <f>VLOOKUP(InputData4[[#This Row],[PRODUCT ID]],MasterData[],5,0)</f>
        <v>89</v>
      </c>
      <c r="K214" s="9">
        <f>VLOOKUP(InputData4[[#This Row],[PRODUCT ID]],MasterData[],6,0)</f>
        <v>117.48</v>
      </c>
      <c r="L214" s="9">
        <f>InputData4[[#This Row],[QUANTITY]]*InputData4[[#This Row],[BUYING PRIZE]]</f>
        <v>979</v>
      </c>
      <c r="M214" s="9">
        <f>InputData4[[#This Row],[QUANTITY]]*InputData4[[#This Row],[SELLING PRICE]]*(1-InputData4[[#This Row],[DISCOUNT %]])</f>
        <v>1292.28</v>
      </c>
      <c r="N214" s="7">
        <f>DAY(InputData4[[#This Row],[DATE]])</f>
        <v>9</v>
      </c>
      <c r="O214" s="7">
        <f>MONTH(InputData4[[#This Row],[DATE]])</f>
        <v>10</v>
      </c>
      <c r="P214" s="7">
        <f>YEAR(InputData4[[#This Row],[DATE]])</f>
        <v>2021</v>
      </c>
    </row>
    <row r="215" spans="1:16" x14ac:dyDescent="0.3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  <c r="G215" t="str">
        <f>VLOOKUP(InputData4[[#This Row],[PRODUCT ID]],MasterData[],2,0)</f>
        <v>Product35</v>
      </c>
      <c r="H215" t="str">
        <f>VLOOKUP(InputData4[[#This Row],[PRODUCT ID]],MasterData[],3,0)</f>
        <v>Category04</v>
      </c>
      <c r="I215" t="str">
        <f>VLOOKUP(InputData4[[#This Row],[PRODUCT ID]],MasterData[],4,0)</f>
        <v>No.</v>
      </c>
      <c r="J215" s="9">
        <f>VLOOKUP(InputData4[[#This Row],[PRODUCT ID]],MasterData[],5,0)</f>
        <v>5</v>
      </c>
      <c r="K215" s="9">
        <f>VLOOKUP(InputData4[[#This Row],[PRODUCT ID]],MasterData[],6,0)</f>
        <v>6.7</v>
      </c>
      <c r="L215" s="9">
        <f>InputData4[[#This Row],[QUANTITY]]*InputData4[[#This Row],[BUYING PRIZE]]</f>
        <v>70</v>
      </c>
      <c r="M215" s="9">
        <f>InputData4[[#This Row],[QUANTITY]]*InputData4[[#This Row],[SELLING PRICE]]*(1-InputData4[[#This Row],[DISCOUNT %]])</f>
        <v>93.8</v>
      </c>
      <c r="N215" s="7">
        <f>DAY(InputData4[[#This Row],[DATE]])</f>
        <v>10</v>
      </c>
      <c r="O215" s="7">
        <f>MONTH(InputData4[[#This Row],[DATE]])</f>
        <v>10</v>
      </c>
      <c r="P215" s="7">
        <f>YEAR(InputData4[[#This Row],[DATE]])</f>
        <v>2021</v>
      </c>
    </row>
    <row r="216" spans="1:16" x14ac:dyDescent="0.3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  <c r="G216" t="str">
        <f>VLOOKUP(InputData4[[#This Row],[PRODUCT ID]],MasterData[],2,0)</f>
        <v>Product11</v>
      </c>
      <c r="H216" t="str">
        <f>VLOOKUP(InputData4[[#This Row],[PRODUCT ID]],MasterData[],3,0)</f>
        <v>Category02</v>
      </c>
      <c r="I216" t="str">
        <f>VLOOKUP(InputData4[[#This Row],[PRODUCT ID]],MasterData[],4,0)</f>
        <v>Lt</v>
      </c>
      <c r="J216" s="9">
        <f>VLOOKUP(InputData4[[#This Row],[PRODUCT ID]],MasterData[],5,0)</f>
        <v>44</v>
      </c>
      <c r="K216" s="9">
        <f>VLOOKUP(InputData4[[#This Row],[PRODUCT ID]],MasterData[],6,0)</f>
        <v>48.4</v>
      </c>
      <c r="L216" s="9">
        <f>InputData4[[#This Row],[QUANTITY]]*InputData4[[#This Row],[BUYING PRIZE]]</f>
        <v>660</v>
      </c>
      <c r="M216" s="9">
        <f>InputData4[[#This Row],[QUANTITY]]*InputData4[[#This Row],[SELLING PRICE]]*(1-InputData4[[#This Row],[DISCOUNT %]])</f>
        <v>726</v>
      </c>
      <c r="N216" s="7">
        <f>DAY(InputData4[[#This Row],[DATE]])</f>
        <v>11</v>
      </c>
      <c r="O216" s="7">
        <f>MONTH(InputData4[[#This Row],[DATE]])</f>
        <v>10</v>
      </c>
      <c r="P216" s="7">
        <f>YEAR(InputData4[[#This Row],[DATE]])</f>
        <v>2021</v>
      </c>
    </row>
    <row r="217" spans="1:16" x14ac:dyDescent="0.3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  <c r="G217" t="str">
        <f>VLOOKUP(InputData4[[#This Row],[PRODUCT ID]],MasterData[],2,0)</f>
        <v>Product27</v>
      </c>
      <c r="H217" t="str">
        <f>VLOOKUP(InputData4[[#This Row],[PRODUCT ID]],MasterData[],3,0)</f>
        <v>Category04</v>
      </c>
      <c r="I217" t="str">
        <f>VLOOKUP(InputData4[[#This Row],[PRODUCT ID]],MasterData[],4,0)</f>
        <v>Lt</v>
      </c>
      <c r="J217" s="9">
        <f>VLOOKUP(InputData4[[#This Row],[PRODUCT ID]],MasterData[],5,0)</f>
        <v>48</v>
      </c>
      <c r="K217" s="9">
        <f>VLOOKUP(InputData4[[#This Row],[PRODUCT ID]],MasterData[],6,0)</f>
        <v>57.120000000000005</v>
      </c>
      <c r="L217" s="9">
        <f>InputData4[[#This Row],[QUANTITY]]*InputData4[[#This Row],[BUYING PRIZE]]</f>
        <v>384</v>
      </c>
      <c r="M217" s="9">
        <f>InputData4[[#This Row],[QUANTITY]]*InputData4[[#This Row],[SELLING PRICE]]*(1-InputData4[[#This Row],[DISCOUNT %]])</f>
        <v>456.96000000000004</v>
      </c>
      <c r="N217" s="7">
        <f>DAY(InputData4[[#This Row],[DATE]])</f>
        <v>12</v>
      </c>
      <c r="O217" s="7">
        <f>MONTH(InputData4[[#This Row],[DATE]])</f>
        <v>10</v>
      </c>
      <c r="P217" s="7">
        <f>YEAR(InputData4[[#This Row],[DATE]])</f>
        <v>2021</v>
      </c>
    </row>
    <row r="218" spans="1:16" x14ac:dyDescent="0.3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  <c r="G218" t="str">
        <f>VLOOKUP(InputData4[[#This Row],[PRODUCT ID]],MasterData[],2,0)</f>
        <v>Product01</v>
      </c>
      <c r="H218" t="str">
        <f>VLOOKUP(InputData4[[#This Row],[PRODUCT ID]],MasterData[],3,0)</f>
        <v>Category01</v>
      </c>
      <c r="I218" t="str">
        <f>VLOOKUP(InputData4[[#This Row],[PRODUCT ID]],MasterData[],4,0)</f>
        <v>Kg</v>
      </c>
      <c r="J218" s="9">
        <f>VLOOKUP(InputData4[[#This Row],[PRODUCT ID]],MasterData[],5,0)</f>
        <v>98</v>
      </c>
      <c r="K218" s="9">
        <f>VLOOKUP(InputData4[[#This Row],[PRODUCT ID]],MasterData[],6,0)</f>
        <v>103.88</v>
      </c>
      <c r="L218" s="9">
        <f>InputData4[[#This Row],[QUANTITY]]*InputData4[[#This Row],[BUYING PRIZE]]</f>
        <v>1274</v>
      </c>
      <c r="M218" s="9">
        <f>InputData4[[#This Row],[QUANTITY]]*InputData4[[#This Row],[SELLING PRICE]]*(1-InputData4[[#This Row],[DISCOUNT %]])</f>
        <v>1350.44</v>
      </c>
      <c r="N218" s="7">
        <f>DAY(InputData4[[#This Row],[DATE]])</f>
        <v>17</v>
      </c>
      <c r="O218" s="7">
        <f>MONTH(InputData4[[#This Row],[DATE]])</f>
        <v>10</v>
      </c>
      <c r="P218" s="7">
        <f>YEAR(InputData4[[#This Row],[DATE]])</f>
        <v>2021</v>
      </c>
    </row>
    <row r="219" spans="1:16" x14ac:dyDescent="0.3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  <c r="G219" t="str">
        <f>VLOOKUP(InputData4[[#This Row],[PRODUCT ID]],MasterData[],2,0)</f>
        <v>Product25</v>
      </c>
      <c r="H219" t="str">
        <f>VLOOKUP(InputData4[[#This Row],[PRODUCT ID]],MasterData[],3,0)</f>
        <v>Category03</v>
      </c>
      <c r="I219" t="str">
        <f>VLOOKUP(InputData4[[#This Row],[PRODUCT ID]],MasterData[],4,0)</f>
        <v>No.</v>
      </c>
      <c r="J219" s="9">
        <f>VLOOKUP(InputData4[[#This Row],[PRODUCT ID]],MasterData[],5,0)</f>
        <v>7</v>
      </c>
      <c r="K219" s="9">
        <f>VLOOKUP(InputData4[[#This Row],[PRODUCT ID]],MasterData[],6,0)</f>
        <v>8.33</v>
      </c>
      <c r="L219" s="9">
        <f>InputData4[[#This Row],[QUANTITY]]*InputData4[[#This Row],[BUYING PRIZE]]</f>
        <v>42</v>
      </c>
      <c r="M219" s="9">
        <f>InputData4[[#This Row],[QUANTITY]]*InputData4[[#This Row],[SELLING PRICE]]*(1-InputData4[[#This Row],[DISCOUNT %]])</f>
        <v>49.980000000000004</v>
      </c>
      <c r="N219" s="7">
        <f>DAY(InputData4[[#This Row],[DATE]])</f>
        <v>18</v>
      </c>
      <c r="O219" s="7">
        <f>MONTH(InputData4[[#This Row],[DATE]])</f>
        <v>10</v>
      </c>
      <c r="P219" s="7">
        <f>YEAR(InputData4[[#This Row],[DATE]])</f>
        <v>2021</v>
      </c>
    </row>
    <row r="220" spans="1:16" x14ac:dyDescent="0.3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  <c r="G220" t="str">
        <f>VLOOKUP(InputData4[[#This Row],[PRODUCT ID]],MasterData[],2,0)</f>
        <v>Product21</v>
      </c>
      <c r="H220" t="str">
        <f>VLOOKUP(InputData4[[#This Row],[PRODUCT ID]],MasterData[],3,0)</f>
        <v>Category03</v>
      </c>
      <c r="I220" t="str">
        <f>VLOOKUP(InputData4[[#This Row],[PRODUCT ID]],MasterData[],4,0)</f>
        <v>Ft</v>
      </c>
      <c r="J220" s="9">
        <f>VLOOKUP(InputData4[[#This Row],[PRODUCT ID]],MasterData[],5,0)</f>
        <v>126</v>
      </c>
      <c r="K220" s="9">
        <f>VLOOKUP(InputData4[[#This Row],[PRODUCT ID]],MasterData[],6,0)</f>
        <v>162.54</v>
      </c>
      <c r="L220" s="9">
        <f>InputData4[[#This Row],[QUANTITY]]*InputData4[[#This Row],[BUYING PRIZE]]</f>
        <v>1638</v>
      </c>
      <c r="M220" s="9">
        <f>InputData4[[#This Row],[QUANTITY]]*InputData4[[#This Row],[SELLING PRICE]]*(1-InputData4[[#This Row],[DISCOUNT %]])</f>
        <v>2113.02</v>
      </c>
      <c r="N220" s="7">
        <f>DAY(InputData4[[#This Row],[DATE]])</f>
        <v>18</v>
      </c>
      <c r="O220" s="7">
        <f>MONTH(InputData4[[#This Row],[DATE]])</f>
        <v>10</v>
      </c>
      <c r="P220" s="7">
        <f>YEAR(InputData4[[#This Row],[DATE]])</f>
        <v>2021</v>
      </c>
    </row>
    <row r="221" spans="1:16" x14ac:dyDescent="0.3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  <c r="G221" t="str">
        <f>VLOOKUP(InputData4[[#This Row],[PRODUCT ID]],MasterData[],2,0)</f>
        <v>Product11</v>
      </c>
      <c r="H221" t="str">
        <f>VLOOKUP(InputData4[[#This Row],[PRODUCT ID]],MasterData[],3,0)</f>
        <v>Category02</v>
      </c>
      <c r="I221" t="str">
        <f>VLOOKUP(InputData4[[#This Row],[PRODUCT ID]],MasterData[],4,0)</f>
        <v>Lt</v>
      </c>
      <c r="J221" s="9">
        <f>VLOOKUP(InputData4[[#This Row],[PRODUCT ID]],MasterData[],5,0)</f>
        <v>44</v>
      </c>
      <c r="K221" s="9">
        <f>VLOOKUP(InputData4[[#This Row],[PRODUCT ID]],MasterData[],6,0)</f>
        <v>48.4</v>
      </c>
      <c r="L221" s="9">
        <f>InputData4[[#This Row],[QUANTITY]]*InputData4[[#This Row],[BUYING PRIZE]]</f>
        <v>308</v>
      </c>
      <c r="M221" s="9">
        <f>InputData4[[#This Row],[QUANTITY]]*InputData4[[#This Row],[SELLING PRICE]]*(1-InputData4[[#This Row],[DISCOUNT %]])</f>
        <v>338.8</v>
      </c>
      <c r="N221" s="7">
        <f>DAY(InputData4[[#This Row],[DATE]])</f>
        <v>22</v>
      </c>
      <c r="O221" s="7">
        <f>MONTH(InputData4[[#This Row],[DATE]])</f>
        <v>10</v>
      </c>
      <c r="P221" s="7">
        <f>YEAR(InputData4[[#This Row],[DATE]])</f>
        <v>2021</v>
      </c>
    </row>
    <row r="222" spans="1:16" x14ac:dyDescent="0.3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  <c r="G222" t="str">
        <f>VLOOKUP(InputData4[[#This Row],[PRODUCT ID]],MasterData[],2,0)</f>
        <v>Product24</v>
      </c>
      <c r="H222" t="str">
        <f>VLOOKUP(InputData4[[#This Row],[PRODUCT ID]],MasterData[],3,0)</f>
        <v>Category03</v>
      </c>
      <c r="I222" t="str">
        <f>VLOOKUP(InputData4[[#This Row],[PRODUCT ID]],MasterData[],4,0)</f>
        <v>Ft</v>
      </c>
      <c r="J222" s="9">
        <f>VLOOKUP(InputData4[[#This Row],[PRODUCT ID]],MasterData[],5,0)</f>
        <v>144</v>
      </c>
      <c r="K222" s="9">
        <f>VLOOKUP(InputData4[[#This Row],[PRODUCT ID]],MasterData[],6,0)</f>
        <v>156.96</v>
      </c>
      <c r="L222" s="9">
        <f>InputData4[[#This Row],[QUANTITY]]*InputData4[[#This Row],[BUYING PRIZE]]</f>
        <v>1872</v>
      </c>
      <c r="M222" s="9">
        <f>InputData4[[#This Row],[QUANTITY]]*InputData4[[#This Row],[SELLING PRICE]]*(1-InputData4[[#This Row],[DISCOUNT %]])</f>
        <v>2040.48</v>
      </c>
      <c r="N222" s="7">
        <f>DAY(InputData4[[#This Row],[DATE]])</f>
        <v>22</v>
      </c>
      <c r="O222" s="7">
        <f>MONTH(InputData4[[#This Row],[DATE]])</f>
        <v>10</v>
      </c>
      <c r="P222" s="7">
        <f>YEAR(InputData4[[#This Row],[DATE]])</f>
        <v>2021</v>
      </c>
    </row>
    <row r="223" spans="1:16" x14ac:dyDescent="0.3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  <c r="G223" t="str">
        <f>VLOOKUP(InputData4[[#This Row],[PRODUCT ID]],MasterData[],2,0)</f>
        <v>Product09</v>
      </c>
      <c r="H223" t="str">
        <f>VLOOKUP(InputData4[[#This Row],[PRODUCT ID]],MasterData[],3,0)</f>
        <v>Category01</v>
      </c>
      <c r="I223" t="str">
        <f>VLOOKUP(InputData4[[#This Row],[PRODUCT ID]],MasterData[],4,0)</f>
        <v>No.</v>
      </c>
      <c r="J223" s="9">
        <f>VLOOKUP(InputData4[[#This Row],[PRODUCT ID]],MasterData[],5,0)</f>
        <v>6</v>
      </c>
      <c r="K223" s="9">
        <f>VLOOKUP(InputData4[[#This Row],[PRODUCT ID]],MasterData[],6,0)</f>
        <v>7.8599999999999994</v>
      </c>
      <c r="L223" s="9">
        <f>InputData4[[#This Row],[QUANTITY]]*InputData4[[#This Row],[BUYING PRIZE]]</f>
        <v>6</v>
      </c>
      <c r="M223" s="9">
        <f>InputData4[[#This Row],[QUANTITY]]*InputData4[[#This Row],[SELLING PRICE]]*(1-InputData4[[#This Row],[DISCOUNT %]])</f>
        <v>7.8599999999999994</v>
      </c>
      <c r="N223" s="7">
        <f>DAY(InputData4[[#This Row],[DATE]])</f>
        <v>22</v>
      </c>
      <c r="O223" s="7">
        <f>MONTH(InputData4[[#This Row],[DATE]])</f>
        <v>10</v>
      </c>
      <c r="P223" s="7">
        <f>YEAR(InputData4[[#This Row],[DATE]])</f>
        <v>2021</v>
      </c>
    </row>
    <row r="224" spans="1:16" x14ac:dyDescent="0.3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  <c r="G224" t="str">
        <f>VLOOKUP(InputData4[[#This Row],[PRODUCT ID]],MasterData[],2,0)</f>
        <v>Product11</v>
      </c>
      <c r="H224" t="str">
        <f>VLOOKUP(InputData4[[#This Row],[PRODUCT ID]],MasterData[],3,0)</f>
        <v>Category02</v>
      </c>
      <c r="I224" t="str">
        <f>VLOOKUP(InputData4[[#This Row],[PRODUCT ID]],MasterData[],4,0)</f>
        <v>Lt</v>
      </c>
      <c r="J224" s="9">
        <f>VLOOKUP(InputData4[[#This Row],[PRODUCT ID]],MasterData[],5,0)</f>
        <v>44</v>
      </c>
      <c r="K224" s="9">
        <f>VLOOKUP(InputData4[[#This Row],[PRODUCT ID]],MasterData[],6,0)</f>
        <v>48.4</v>
      </c>
      <c r="L224" s="9">
        <f>InputData4[[#This Row],[QUANTITY]]*InputData4[[#This Row],[BUYING PRIZE]]</f>
        <v>132</v>
      </c>
      <c r="M224" s="9">
        <f>InputData4[[#This Row],[QUANTITY]]*InputData4[[#This Row],[SELLING PRICE]]*(1-InputData4[[#This Row],[DISCOUNT %]])</f>
        <v>145.19999999999999</v>
      </c>
      <c r="N224" s="7">
        <f>DAY(InputData4[[#This Row],[DATE]])</f>
        <v>24</v>
      </c>
      <c r="O224" s="7">
        <f>MONTH(InputData4[[#This Row],[DATE]])</f>
        <v>10</v>
      </c>
      <c r="P224" s="7">
        <f>YEAR(InputData4[[#This Row],[DATE]])</f>
        <v>2021</v>
      </c>
    </row>
    <row r="225" spans="1:16" x14ac:dyDescent="0.3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  <c r="G225" t="str">
        <f>VLOOKUP(InputData4[[#This Row],[PRODUCT ID]],MasterData[],2,0)</f>
        <v>Product44</v>
      </c>
      <c r="H225" t="str">
        <f>VLOOKUP(InputData4[[#This Row],[PRODUCT ID]],MasterData[],3,0)</f>
        <v>Category05</v>
      </c>
      <c r="I225" t="str">
        <f>VLOOKUP(InputData4[[#This Row],[PRODUCT ID]],MasterData[],4,0)</f>
        <v>Kg</v>
      </c>
      <c r="J225" s="9">
        <f>VLOOKUP(InputData4[[#This Row],[PRODUCT ID]],MasterData[],5,0)</f>
        <v>76</v>
      </c>
      <c r="K225" s="9">
        <f>VLOOKUP(InputData4[[#This Row],[PRODUCT ID]],MasterData[],6,0)</f>
        <v>82.08</v>
      </c>
      <c r="L225" s="9">
        <f>InputData4[[#This Row],[QUANTITY]]*InputData4[[#This Row],[BUYING PRIZE]]</f>
        <v>684</v>
      </c>
      <c r="M225" s="9">
        <f>InputData4[[#This Row],[QUANTITY]]*InputData4[[#This Row],[SELLING PRICE]]*(1-InputData4[[#This Row],[DISCOUNT %]])</f>
        <v>738.72</v>
      </c>
      <c r="N225" s="7">
        <f>DAY(InputData4[[#This Row],[DATE]])</f>
        <v>25</v>
      </c>
      <c r="O225" s="7">
        <f>MONTH(InputData4[[#This Row],[DATE]])</f>
        <v>10</v>
      </c>
      <c r="P225" s="7">
        <f>YEAR(InputData4[[#This Row],[DATE]])</f>
        <v>2021</v>
      </c>
    </row>
    <row r="226" spans="1:16" x14ac:dyDescent="0.3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  <c r="G226" t="str">
        <f>VLOOKUP(InputData4[[#This Row],[PRODUCT ID]],MasterData[],2,0)</f>
        <v>Product04</v>
      </c>
      <c r="H226" t="str">
        <f>VLOOKUP(InputData4[[#This Row],[PRODUCT ID]],MasterData[],3,0)</f>
        <v>Category01</v>
      </c>
      <c r="I226" t="str">
        <f>VLOOKUP(InputData4[[#This Row],[PRODUCT ID]],MasterData[],4,0)</f>
        <v>Lt</v>
      </c>
      <c r="J226" s="9">
        <f>VLOOKUP(InputData4[[#This Row],[PRODUCT ID]],MasterData[],5,0)</f>
        <v>44</v>
      </c>
      <c r="K226" s="9">
        <f>VLOOKUP(InputData4[[#This Row],[PRODUCT ID]],MasterData[],6,0)</f>
        <v>48.84</v>
      </c>
      <c r="L226" s="9">
        <f>InputData4[[#This Row],[QUANTITY]]*InputData4[[#This Row],[BUYING PRIZE]]</f>
        <v>264</v>
      </c>
      <c r="M226" s="9">
        <f>InputData4[[#This Row],[QUANTITY]]*InputData4[[#This Row],[SELLING PRICE]]*(1-InputData4[[#This Row],[DISCOUNT %]])</f>
        <v>293.04000000000002</v>
      </c>
      <c r="N226" s="7">
        <f>DAY(InputData4[[#This Row],[DATE]])</f>
        <v>26</v>
      </c>
      <c r="O226" s="7">
        <f>MONTH(InputData4[[#This Row],[DATE]])</f>
        <v>10</v>
      </c>
      <c r="P226" s="7">
        <f>YEAR(InputData4[[#This Row],[DATE]])</f>
        <v>2021</v>
      </c>
    </row>
    <row r="227" spans="1:16" x14ac:dyDescent="0.3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  <c r="G227" t="str">
        <f>VLOOKUP(InputData4[[#This Row],[PRODUCT ID]],MasterData[],2,0)</f>
        <v>Product08</v>
      </c>
      <c r="H227" t="str">
        <f>VLOOKUP(InputData4[[#This Row],[PRODUCT ID]],MasterData[],3,0)</f>
        <v>Category01</v>
      </c>
      <c r="I227" t="str">
        <f>VLOOKUP(InputData4[[#This Row],[PRODUCT ID]],MasterData[],4,0)</f>
        <v>Kg</v>
      </c>
      <c r="J227" s="9">
        <f>VLOOKUP(InputData4[[#This Row],[PRODUCT ID]],MasterData[],5,0)</f>
        <v>83</v>
      </c>
      <c r="K227" s="9">
        <f>VLOOKUP(InputData4[[#This Row],[PRODUCT ID]],MasterData[],6,0)</f>
        <v>94.62</v>
      </c>
      <c r="L227" s="9">
        <f>InputData4[[#This Row],[QUANTITY]]*InputData4[[#This Row],[BUYING PRIZE]]</f>
        <v>83</v>
      </c>
      <c r="M227" s="9">
        <f>InputData4[[#This Row],[QUANTITY]]*InputData4[[#This Row],[SELLING PRICE]]*(1-InputData4[[#This Row],[DISCOUNT %]])</f>
        <v>94.62</v>
      </c>
      <c r="N227" s="7">
        <f>DAY(InputData4[[#This Row],[DATE]])</f>
        <v>28</v>
      </c>
      <c r="O227" s="7">
        <f>MONTH(InputData4[[#This Row],[DATE]])</f>
        <v>10</v>
      </c>
      <c r="P227" s="7">
        <f>YEAR(InputData4[[#This Row],[DATE]])</f>
        <v>2021</v>
      </c>
    </row>
    <row r="228" spans="1:16" x14ac:dyDescent="0.3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  <c r="G228" t="str">
        <f>VLOOKUP(InputData4[[#This Row],[PRODUCT ID]],MasterData[],2,0)</f>
        <v>Product38</v>
      </c>
      <c r="H228" t="str">
        <f>VLOOKUP(InputData4[[#This Row],[PRODUCT ID]],MasterData[],3,0)</f>
        <v>Category05</v>
      </c>
      <c r="I228" t="str">
        <f>VLOOKUP(InputData4[[#This Row],[PRODUCT ID]],MasterData[],4,0)</f>
        <v>Kg</v>
      </c>
      <c r="J228" s="9">
        <f>VLOOKUP(InputData4[[#This Row],[PRODUCT ID]],MasterData[],5,0)</f>
        <v>72</v>
      </c>
      <c r="K228" s="9">
        <f>VLOOKUP(InputData4[[#This Row],[PRODUCT ID]],MasterData[],6,0)</f>
        <v>79.92</v>
      </c>
      <c r="L228" s="9">
        <f>InputData4[[#This Row],[QUANTITY]]*InputData4[[#This Row],[BUYING PRIZE]]</f>
        <v>1008</v>
      </c>
      <c r="M228" s="9">
        <f>InputData4[[#This Row],[QUANTITY]]*InputData4[[#This Row],[SELLING PRICE]]*(1-InputData4[[#This Row],[DISCOUNT %]])</f>
        <v>1118.8800000000001</v>
      </c>
      <c r="N228" s="7">
        <f>DAY(InputData4[[#This Row],[DATE]])</f>
        <v>29</v>
      </c>
      <c r="O228" s="7">
        <f>MONTH(InputData4[[#This Row],[DATE]])</f>
        <v>10</v>
      </c>
      <c r="P228" s="7">
        <f>YEAR(InputData4[[#This Row],[DATE]])</f>
        <v>2021</v>
      </c>
    </row>
    <row r="229" spans="1:16" x14ac:dyDescent="0.3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  <c r="G229" t="str">
        <f>VLOOKUP(InputData4[[#This Row],[PRODUCT ID]],MasterData[],2,0)</f>
        <v>Product21</v>
      </c>
      <c r="H229" t="str">
        <f>VLOOKUP(InputData4[[#This Row],[PRODUCT ID]],MasterData[],3,0)</f>
        <v>Category03</v>
      </c>
      <c r="I229" t="str">
        <f>VLOOKUP(InputData4[[#This Row],[PRODUCT ID]],MasterData[],4,0)</f>
        <v>Ft</v>
      </c>
      <c r="J229" s="9">
        <f>VLOOKUP(InputData4[[#This Row],[PRODUCT ID]],MasterData[],5,0)</f>
        <v>126</v>
      </c>
      <c r="K229" s="9">
        <f>VLOOKUP(InputData4[[#This Row],[PRODUCT ID]],MasterData[],6,0)</f>
        <v>162.54</v>
      </c>
      <c r="L229" s="9">
        <f>InputData4[[#This Row],[QUANTITY]]*InputData4[[#This Row],[BUYING PRIZE]]</f>
        <v>756</v>
      </c>
      <c r="M229" s="9">
        <f>InputData4[[#This Row],[QUANTITY]]*InputData4[[#This Row],[SELLING PRICE]]*(1-InputData4[[#This Row],[DISCOUNT %]])</f>
        <v>975.24</v>
      </c>
      <c r="N229" s="7">
        <f>DAY(InputData4[[#This Row],[DATE]])</f>
        <v>31</v>
      </c>
      <c r="O229" s="7">
        <f>MONTH(InputData4[[#This Row],[DATE]])</f>
        <v>10</v>
      </c>
      <c r="P229" s="7">
        <f>YEAR(InputData4[[#This Row],[DATE]])</f>
        <v>2021</v>
      </c>
    </row>
    <row r="230" spans="1:16" x14ac:dyDescent="0.3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  <c r="G230" t="str">
        <f>VLOOKUP(InputData4[[#This Row],[PRODUCT ID]],MasterData[],2,0)</f>
        <v>Product13</v>
      </c>
      <c r="H230" t="str">
        <f>VLOOKUP(InputData4[[#This Row],[PRODUCT ID]],MasterData[],3,0)</f>
        <v>Category02</v>
      </c>
      <c r="I230" t="str">
        <f>VLOOKUP(InputData4[[#This Row],[PRODUCT ID]],MasterData[],4,0)</f>
        <v>Kg</v>
      </c>
      <c r="J230" s="9">
        <f>VLOOKUP(InputData4[[#This Row],[PRODUCT ID]],MasterData[],5,0)</f>
        <v>112</v>
      </c>
      <c r="K230" s="9">
        <f>VLOOKUP(InputData4[[#This Row],[PRODUCT ID]],MasterData[],6,0)</f>
        <v>122.08</v>
      </c>
      <c r="L230" s="9">
        <f>InputData4[[#This Row],[QUANTITY]]*InputData4[[#This Row],[BUYING PRIZE]]</f>
        <v>1344</v>
      </c>
      <c r="M230" s="9">
        <f>InputData4[[#This Row],[QUANTITY]]*InputData4[[#This Row],[SELLING PRICE]]*(1-InputData4[[#This Row],[DISCOUNT %]])</f>
        <v>1464.96</v>
      </c>
      <c r="N230" s="7">
        <f>DAY(InputData4[[#This Row],[DATE]])</f>
        <v>3</v>
      </c>
      <c r="O230" s="7">
        <f>MONTH(InputData4[[#This Row],[DATE]])</f>
        <v>11</v>
      </c>
      <c r="P230" s="7">
        <f>YEAR(InputData4[[#This Row],[DATE]])</f>
        <v>2021</v>
      </c>
    </row>
    <row r="231" spans="1:16" x14ac:dyDescent="0.3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  <c r="G231" t="str">
        <f>VLOOKUP(InputData4[[#This Row],[PRODUCT ID]],MasterData[],2,0)</f>
        <v>Product36</v>
      </c>
      <c r="H231" t="str">
        <f>VLOOKUP(InputData4[[#This Row],[PRODUCT ID]],MasterData[],3,0)</f>
        <v>Category04</v>
      </c>
      <c r="I231" t="str">
        <f>VLOOKUP(InputData4[[#This Row],[PRODUCT ID]],MasterData[],4,0)</f>
        <v>Kg</v>
      </c>
      <c r="J231" s="9">
        <f>VLOOKUP(InputData4[[#This Row],[PRODUCT ID]],MasterData[],5,0)</f>
        <v>90</v>
      </c>
      <c r="K231" s="9">
        <f>VLOOKUP(InputData4[[#This Row],[PRODUCT ID]],MasterData[],6,0)</f>
        <v>96.3</v>
      </c>
      <c r="L231" s="9">
        <f>InputData4[[#This Row],[QUANTITY]]*InputData4[[#This Row],[BUYING PRIZE]]</f>
        <v>900</v>
      </c>
      <c r="M231" s="9">
        <f>InputData4[[#This Row],[QUANTITY]]*InputData4[[#This Row],[SELLING PRICE]]*(1-InputData4[[#This Row],[DISCOUNT %]])</f>
        <v>963</v>
      </c>
      <c r="N231" s="7">
        <f>DAY(InputData4[[#This Row],[DATE]])</f>
        <v>6</v>
      </c>
      <c r="O231" s="7">
        <f>MONTH(InputData4[[#This Row],[DATE]])</f>
        <v>11</v>
      </c>
      <c r="P231" s="7">
        <f>YEAR(InputData4[[#This Row],[DATE]])</f>
        <v>2021</v>
      </c>
    </row>
    <row r="232" spans="1:16" x14ac:dyDescent="0.3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  <c r="G232" t="str">
        <f>VLOOKUP(InputData4[[#This Row],[PRODUCT ID]],MasterData[],2,0)</f>
        <v>Product07</v>
      </c>
      <c r="H232" t="str">
        <f>VLOOKUP(InputData4[[#This Row],[PRODUCT ID]],MasterData[],3,0)</f>
        <v>Category01</v>
      </c>
      <c r="I232" t="str">
        <f>VLOOKUP(InputData4[[#This Row],[PRODUCT ID]],MasterData[],4,0)</f>
        <v>Lt</v>
      </c>
      <c r="J232" s="9">
        <f>VLOOKUP(InputData4[[#This Row],[PRODUCT ID]],MasterData[],5,0)</f>
        <v>43</v>
      </c>
      <c r="K232" s="9">
        <f>VLOOKUP(InputData4[[#This Row],[PRODUCT ID]],MasterData[],6,0)</f>
        <v>47.730000000000004</v>
      </c>
      <c r="L232" s="9">
        <f>InputData4[[#This Row],[QUANTITY]]*InputData4[[#This Row],[BUYING PRIZE]]</f>
        <v>645</v>
      </c>
      <c r="M232" s="9">
        <f>InputData4[[#This Row],[QUANTITY]]*InputData4[[#This Row],[SELLING PRICE]]*(1-InputData4[[#This Row],[DISCOUNT %]])</f>
        <v>715.95</v>
      </c>
      <c r="N232" s="7">
        <f>DAY(InputData4[[#This Row],[DATE]])</f>
        <v>8</v>
      </c>
      <c r="O232" s="7">
        <f>MONTH(InputData4[[#This Row],[DATE]])</f>
        <v>11</v>
      </c>
      <c r="P232" s="7">
        <f>YEAR(InputData4[[#This Row],[DATE]])</f>
        <v>2021</v>
      </c>
    </row>
    <row r="233" spans="1:16" x14ac:dyDescent="0.3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  <c r="G233" t="str">
        <f>VLOOKUP(InputData4[[#This Row],[PRODUCT ID]],MasterData[],2,0)</f>
        <v>Product42</v>
      </c>
      <c r="H233" t="str">
        <f>VLOOKUP(InputData4[[#This Row],[PRODUCT ID]],MasterData[],3,0)</f>
        <v>Category05</v>
      </c>
      <c r="I233" t="str">
        <f>VLOOKUP(InputData4[[#This Row],[PRODUCT ID]],MasterData[],4,0)</f>
        <v>Ft</v>
      </c>
      <c r="J233" s="9">
        <f>VLOOKUP(InputData4[[#This Row],[PRODUCT ID]],MasterData[],5,0)</f>
        <v>120</v>
      </c>
      <c r="K233" s="9">
        <f>VLOOKUP(InputData4[[#This Row],[PRODUCT ID]],MasterData[],6,0)</f>
        <v>162</v>
      </c>
      <c r="L233" s="9">
        <f>InputData4[[#This Row],[QUANTITY]]*InputData4[[#This Row],[BUYING PRIZE]]</f>
        <v>720</v>
      </c>
      <c r="M233" s="9">
        <f>InputData4[[#This Row],[QUANTITY]]*InputData4[[#This Row],[SELLING PRICE]]*(1-InputData4[[#This Row],[DISCOUNT %]])</f>
        <v>972</v>
      </c>
      <c r="N233" s="7">
        <f>DAY(InputData4[[#This Row],[DATE]])</f>
        <v>10</v>
      </c>
      <c r="O233" s="7">
        <f>MONTH(InputData4[[#This Row],[DATE]])</f>
        <v>11</v>
      </c>
      <c r="P233" s="7">
        <f>YEAR(InputData4[[#This Row],[DATE]])</f>
        <v>2021</v>
      </c>
    </row>
    <row r="234" spans="1:16" x14ac:dyDescent="0.3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  <c r="G234" t="str">
        <f>VLOOKUP(InputData4[[#This Row],[PRODUCT ID]],MasterData[],2,0)</f>
        <v>Product40</v>
      </c>
      <c r="H234" t="str">
        <f>VLOOKUP(InputData4[[#This Row],[PRODUCT ID]],MasterData[],3,0)</f>
        <v>Category05</v>
      </c>
      <c r="I234" t="str">
        <f>VLOOKUP(InputData4[[#This Row],[PRODUCT ID]],MasterData[],4,0)</f>
        <v>Kg</v>
      </c>
      <c r="J234" s="9">
        <f>VLOOKUP(InputData4[[#This Row],[PRODUCT ID]],MasterData[],5,0)</f>
        <v>90</v>
      </c>
      <c r="K234" s="9">
        <f>VLOOKUP(InputData4[[#This Row],[PRODUCT ID]],MasterData[],6,0)</f>
        <v>115.2</v>
      </c>
      <c r="L234" s="9">
        <f>InputData4[[#This Row],[QUANTITY]]*InputData4[[#This Row],[BUYING PRIZE]]</f>
        <v>1080</v>
      </c>
      <c r="M234" s="9">
        <f>InputData4[[#This Row],[QUANTITY]]*InputData4[[#This Row],[SELLING PRICE]]*(1-InputData4[[#This Row],[DISCOUNT %]])</f>
        <v>1382.4</v>
      </c>
      <c r="N234" s="7">
        <f>DAY(InputData4[[#This Row],[DATE]])</f>
        <v>11</v>
      </c>
      <c r="O234" s="7">
        <f>MONTH(InputData4[[#This Row],[DATE]])</f>
        <v>11</v>
      </c>
      <c r="P234" s="7">
        <f>YEAR(InputData4[[#This Row],[DATE]])</f>
        <v>2021</v>
      </c>
    </row>
    <row r="235" spans="1:16" x14ac:dyDescent="0.3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  <c r="G235" t="str">
        <f>VLOOKUP(InputData4[[#This Row],[PRODUCT ID]],MasterData[],2,0)</f>
        <v>Product10</v>
      </c>
      <c r="H235" t="str">
        <f>VLOOKUP(InputData4[[#This Row],[PRODUCT ID]],MasterData[],3,0)</f>
        <v>Category02</v>
      </c>
      <c r="I235" t="str">
        <f>VLOOKUP(InputData4[[#This Row],[PRODUCT ID]],MasterData[],4,0)</f>
        <v>Ft</v>
      </c>
      <c r="J235" s="9">
        <f>VLOOKUP(InputData4[[#This Row],[PRODUCT ID]],MasterData[],5,0)</f>
        <v>148</v>
      </c>
      <c r="K235" s="9">
        <f>VLOOKUP(InputData4[[#This Row],[PRODUCT ID]],MasterData[],6,0)</f>
        <v>164.28</v>
      </c>
      <c r="L235" s="9">
        <f>InputData4[[#This Row],[QUANTITY]]*InputData4[[#This Row],[BUYING PRIZE]]</f>
        <v>444</v>
      </c>
      <c r="M235" s="9">
        <f>InputData4[[#This Row],[QUANTITY]]*InputData4[[#This Row],[SELLING PRICE]]*(1-InputData4[[#This Row],[DISCOUNT %]])</f>
        <v>492.84000000000003</v>
      </c>
      <c r="N235" s="7">
        <f>DAY(InputData4[[#This Row],[DATE]])</f>
        <v>12</v>
      </c>
      <c r="O235" s="7">
        <f>MONTH(InputData4[[#This Row],[DATE]])</f>
        <v>11</v>
      </c>
      <c r="P235" s="7">
        <f>YEAR(InputData4[[#This Row],[DATE]])</f>
        <v>2021</v>
      </c>
    </row>
    <row r="236" spans="1:16" x14ac:dyDescent="0.3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  <c r="G236" t="str">
        <f>VLOOKUP(InputData4[[#This Row],[PRODUCT ID]],MasterData[],2,0)</f>
        <v>Product34</v>
      </c>
      <c r="H236" t="str">
        <f>VLOOKUP(InputData4[[#This Row],[PRODUCT ID]],MasterData[],3,0)</f>
        <v>Category04</v>
      </c>
      <c r="I236" t="str">
        <f>VLOOKUP(InputData4[[#This Row],[PRODUCT ID]],MasterData[],4,0)</f>
        <v>Lt</v>
      </c>
      <c r="J236" s="9">
        <f>VLOOKUP(InputData4[[#This Row],[PRODUCT ID]],MasterData[],5,0)</f>
        <v>55</v>
      </c>
      <c r="K236" s="9">
        <f>VLOOKUP(InputData4[[#This Row],[PRODUCT ID]],MasterData[],6,0)</f>
        <v>58.3</v>
      </c>
      <c r="L236" s="9">
        <f>InputData4[[#This Row],[QUANTITY]]*InputData4[[#This Row],[BUYING PRIZE]]</f>
        <v>770</v>
      </c>
      <c r="M236" s="9">
        <f>InputData4[[#This Row],[QUANTITY]]*InputData4[[#This Row],[SELLING PRICE]]*(1-InputData4[[#This Row],[DISCOUNT %]])</f>
        <v>816.19999999999993</v>
      </c>
      <c r="N236" s="7">
        <f>DAY(InputData4[[#This Row],[DATE]])</f>
        <v>20</v>
      </c>
      <c r="O236" s="7">
        <f>MONTH(InputData4[[#This Row],[DATE]])</f>
        <v>11</v>
      </c>
      <c r="P236" s="7">
        <f>YEAR(InputData4[[#This Row],[DATE]])</f>
        <v>2021</v>
      </c>
    </row>
    <row r="237" spans="1:16" x14ac:dyDescent="0.3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  <c r="G237" t="str">
        <f>VLOOKUP(InputData4[[#This Row],[PRODUCT ID]],MasterData[],2,0)</f>
        <v>Product08</v>
      </c>
      <c r="H237" t="str">
        <f>VLOOKUP(InputData4[[#This Row],[PRODUCT ID]],MasterData[],3,0)</f>
        <v>Category01</v>
      </c>
      <c r="I237" t="str">
        <f>VLOOKUP(InputData4[[#This Row],[PRODUCT ID]],MasterData[],4,0)</f>
        <v>Kg</v>
      </c>
      <c r="J237" s="9">
        <f>VLOOKUP(InputData4[[#This Row],[PRODUCT ID]],MasterData[],5,0)</f>
        <v>83</v>
      </c>
      <c r="K237" s="9">
        <f>VLOOKUP(InputData4[[#This Row],[PRODUCT ID]],MasterData[],6,0)</f>
        <v>94.62</v>
      </c>
      <c r="L237" s="9">
        <f>InputData4[[#This Row],[QUANTITY]]*InputData4[[#This Row],[BUYING PRIZE]]</f>
        <v>913</v>
      </c>
      <c r="M237" s="9">
        <f>InputData4[[#This Row],[QUANTITY]]*InputData4[[#This Row],[SELLING PRICE]]*(1-InputData4[[#This Row],[DISCOUNT %]])</f>
        <v>1040.8200000000002</v>
      </c>
      <c r="N237" s="7">
        <f>DAY(InputData4[[#This Row],[DATE]])</f>
        <v>20</v>
      </c>
      <c r="O237" s="7">
        <f>MONTH(InputData4[[#This Row],[DATE]])</f>
        <v>11</v>
      </c>
      <c r="P237" s="7">
        <f>YEAR(InputData4[[#This Row],[DATE]])</f>
        <v>2021</v>
      </c>
    </row>
    <row r="238" spans="1:16" x14ac:dyDescent="0.3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  <c r="G238" t="str">
        <f>VLOOKUP(InputData4[[#This Row],[PRODUCT ID]],MasterData[],2,0)</f>
        <v>Product14</v>
      </c>
      <c r="H238" t="str">
        <f>VLOOKUP(InputData4[[#This Row],[PRODUCT ID]],MasterData[],3,0)</f>
        <v>Category02</v>
      </c>
      <c r="I238" t="str">
        <f>VLOOKUP(InputData4[[#This Row],[PRODUCT ID]],MasterData[],4,0)</f>
        <v>Kg</v>
      </c>
      <c r="J238" s="9">
        <f>VLOOKUP(InputData4[[#This Row],[PRODUCT ID]],MasterData[],5,0)</f>
        <v>112</v>
      </c>
      <c r="K238" s="9">
        <f>VLOOKUP(InputData4[[#This Row],[PRODUCT ID]],MasterData[],6,0)</f>
        <v>146.72</v>
      </c>
      <c r="L238" s="9">
        <f>InputData4[[#This Row],[QUANTITY]]*InputData4[[#This Row],[BUYING PRIZE]]</f>
        <v>112</v>
      </c>
      <c r="M238" s="9">
        <f>InputData4[[#This Row],[QUANTITY]]*InputData4[[#This Row],[SELLING PRICE]]*(1-InputData4[[#This Row],[DISCOUNT %]])</f>
        <v>146.72</v>
      </c>
      <c r="N238" s="7">
        <f>DAY(InputData4[[#This Row],[DATE]])</f>
        <v>21</v>
      </c>
      <c r="O238" s="7">
        <f>MONTH(InputData4[[#This Row],[DATE]])</f>
        <v>11</v>
      </c>
      <c r="P238" s="7">
        <f>YEAR(InputData4[[#This Row],[DATE]])</f>
        <v>2021</v>
      </c>
    </row>
    <row r="239" spans="1:16" x14ac:dyDescent="0.3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  <c r="G239" t="str">
        <f>VLOOKUP(InputData4[[#This Row],[PRODUCT ID]],MasterData[],2,0)</f>
        <v>Product06</v>
      </c>
      <c r="H239" t="str">
        <f>VLOOKUP(InputData4[[#This Row],[PRODUCT ID]],MasterData[],3,0)</f>
        <v>Category01</v>
      </c>
      <c r="I239" t="str">
        <f>VLOOKUP(InputData4[[#This Row],[PRODUCT ID]],MasterData[],4,0)</f>
        <v>Kg</v>
      </c>
      <c r="J239" s="9">
        <f>VLOOKUP(InputData4[[#This Row],[PRODUCT ID]],MasterData[],5,0)</f>
        <v>75</v>
      </c>
      <c r="K239" s="9">
        <f>VLOOKUP(InputData4[[#This Row],[PRODUCT ID]],MasterData[],6,0)</f>
        <v>85.5</v>
      </c>
      <c r="L239" s="9">
        <f>InputData4[[#This Row],[QUANTITY]]*InputData4[[#This Row],[BUYING PRIZE]]</f>
        <v>75</v>
      </c>
      <c r="M239" s="9">
        <f>InputData4[[#This Row],[QUANTITY]]*InputData4[[#This Row],[SELLING PRICE]]*(1-InputData4[[#This Row],[DISCOUNT %]])</f>
        <v>85.5</v>
      </c>
      <c r="N239" s="7">
        <f>DAY(InputData4[[#This Row],[DATE]])</f>
        <v>21</v>
      </c>
      <c r="O239" s="7">
        <f>MONTH(InputData4[[#This Row],[DATE]])</f>
        <v>11</v>
      </c>
      <c r="P239" s="7">
        <f>YEAR(InputData4[[#This Row],[DATE]])</f>
        <v>2021</v>
      </c>
    </row>
    <row r="240" spans="1:16" x14ac:dyDescent="0.3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  <c r="G240" t="str">
        <f>VLOOKUP(InputData4[[#This Row],[PRODUCT ID]],MasterData[],2,0)</f>
        <v>Product12</v>
      </c>
      <c r="H240" t="str">
        <f>VLOOKUP(InputData4[[#This Row],[PRODUCT ID]],MasterData[],3,0)</f>
        <v>Category02</v>
      </c>
      <c r="I240" t="str">
        <f>VLOOKUP(InputData4[[#This Row],[PRODUCT ID]],MasterData[],4,0)</f>
        <v>Kg</v>
      </c>
      <c r="J240" s="9">
        <f>VLOOKUP(InputData4[[#This Row],[PRODUCT ID]],MasterData[],5,0)</f>
        <v>73</v>
      </c>
      <c r="K240" s="9">
        <f>VLOOKUP(InputData4[[#This Row],[PRODUCT ID]],MasterData[],6,0)</f>
        <v>94.17</v>
      </c>
      <c r="L240" s="9">
        <f>InputData4[[#This Row],[QUANTITY]]*InputData4[[#This Row],[BUYING PRIZE]]</f>
        <v>584</v>
      </c>
      <c r="M240" s="9">
        <f>InputData4[[#This Row],[QUANTITY]]*InputData4[[#This Row],[SELLING PRICE]]*(1-InputData4[[#This Row],[DISCOUNT %]])</f>
        <v>753.36</v>
      </c>
      <c r="N240" s="7">
        <f>DAY(InputData4[[#This Row],[DATE]])</f>
        <v>27</v>
      </c>
      <c r="O240" s="7">
        <f>MONTH(InputData4[[#This Row],[DATE]])</f>
        <v>11</v>
      </c>
      <c r="P240" s="7">
        <f>YEAR(InputData4[[#This Row],[DATE]])</f>
        <v>2021</v>
      </c>
    </row>
    <row r="241" spans="1:16" x14ac:dyDescent="0.3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  <c r="G241" t="str">
        <f>VLOOKUP(InputData4[[#This Row],[PRODUCT ID]],MasterData[],2,0)</f>
        <v>Product40</v>
      </c>
      <c r="H241" t="str">
        <f>VLOOKUP(InputData4[[#This Row],[PRODUCT ID]],MasterData[],3,0)</f>
        <v>Category05</v>
      </c>
      <c r="I241" t="str">
        <f>VLOOKUP(InputData4[[#This Row],[PRODUCT ID]],MasterData[],4,0)</f>
        <v>Kg</v>
      </c>
      <c r="J241" s="9">
        <f>VLOOKUP(InputData4[[#This Row],[PRODUCT ID]],MasterData[],5,0)</f>
        <v>90</v>
      </c>
      <c r="K241" s="9">
        <f>VLOOKUP(InputData4[[#This Row],[PRODUCT ID]],MasterData[],6,0)</f>
        <v>115.2</v>
      </c>
      <c r="L241" s="9">
        <f>InputData4[[#This Row],[QUANTITY]]*InputData4[[#This Row],[BUYING PRIZE]]</f>
        <v>180</v>
      </c>
      <c r="M241" s="9">
        <f>InputData4[[#This Row],[QUANTITY]]*InputData4[[#This Row],[SELLING PRICE]]*(1-InputData4[[#This Row],[DISCOUNT %]])</f>
        <v>230.4</v>
      </c>
      <c r="N241" s="7">
        <f>DAY(InputData4[[#This Row],[DATE]])</f>
        <v>28</v>
      </c>
      <c r="O241" s="7">
        <f>MONTH(InputData4[[#This Row],[DATE]])</f>
        <v>11</v>
      </c>
      <c r="P241" s="7">
        <f>YEAR(InputData4[[#This Row],[DATE]])</f>
        <v>2021</v>
      </c>
    </row>
    <row r="242" spans="1:16" x14ac:dyDescent="0.3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  <c r="G242" t="str">
        <f>VLOOKUP(InputData4[[#This Row],[PRODUCT ID]],MasterData[],2,0)</f>
        <v>Product39</v>
      </c>
      <c r="H242" t="str">
        <f>VLOOKUP(InputData4[[#This Row],[PRODUCT ID]],MasterData[],3,0)</f>
        <v>Category05</v>
      </c>
      <c r="I242" t="str">
        <f>VLOOKUP(InputData4[[#This Row],[PRODUCT ID]],MasterData[],4,0)</f>
        <v>No.</v>
      </c>
      <c r="J242" s="9">
        <f>VLOOKUP(InputData4[[#This Row],[PRODUCT ID]],MasterData[],5,0)</f>
        <v>37</v>
      </c>
      <c r="K242" s="9">
        <f>VLOOKUP(InputData4[[#This Row],[PRODUCT ID]],MasterData[],6,0)</f>
        <v>42.55</v>
      </c>
      <c r="L242" s="9">
        <f>InputData4[[#This Row],[QUANTITY]]*InputData4[[#This Row],[BUYING PRIZE]]</f>
        <v>555</v>
      </c>
      <c r="M242" s="9">
        <f>InputData4[[#This Row],[QUANTITY]]*InputData4[[#This Row],[SELLING PRICE]]*(1-InputData4[[#This Row],[DISCOUNT %]])</f>
        <v>638.25</v>
      </c>
      <c r="N242" s="7">
        <f>DAY(InputData4[[#This Row],[DATE]])</f>
        <v>30</v>
      </c>
      <c r="O242" s="7">
        <f>MONTH(InputData4[[#This Row],[DATE]])</f>
        <v>11</v>
      </c>
      <c r="P242" s="7">
        <f>YEAR(InputData4[[#This Row],[DATE]])</f>
        <v>2021</v>
      </c>
    </row>
    <row r="243" spans="1:16" x14ac:dyDescent="0.3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  <c r="G243" t="str">
        <f>VLOOKUP(InputData4[[#This Row],[PRODUCT ID]],MasterData[],2,0)</f>
        <v>Product16</v>
      </c>
      <c r="H243" t="str">
        <f>VLOOKUP(InputData4[[#This Row],[PRODUCT ID]],MasterData[],3,0)</f>
        <v>Category02</v>
      </c>
      <c r="I243" t="str">
        <f>VLOOKUP(InputData4[[#This Row],[PRODUCT ID]],MasterData[],4,0)</f>
        <v>No.</v>
      </c>
      <c r="J243" s="9">
        <f>VLOOKUP(InputData4[[#This Row],[PRODUCT ID]],MasterData[],5,0)</f>
        <v>13</v>
      </c>
      <c r="K243" s="9">
        <f>VLOOKUP(InputData4[[#This Row],[PRODUCT ID]],MasterData[],6,0)</f>
        <v>16.64</v>
      </c>
      <c r="L243" s="9">
        <f>InputData4[[#This Row],[QUANTITY]]*InputData4[[#This Row],[BUYING PRIZE]]</f>
        <v>130</v>
      </c>
      <c r="M243" s="9">
        <f>InputData4[[#This Row],[QUANTITY]]*InputData4[[#This Row],[SELLING PRICE]]*(1-InputData4[[#This Row],[DISCOUNT %]])</f>
        <v>166.4</v>
      </c>
      <c r="N243" s="7">
        <f>DAY(InputData4[[#This Row],[DATE]])</f>
        <v>2</v>
      </c>
      <c r="O243" s="7">
        <f>MONTH(InputData4[[#This Row],[DATE]])</f>
        <v>12</v>
      </c>
      <c r="P243" s="7">
        <f>YEAR(InputData4[[#This Row],[DATE]])</f>
        <v>2021</v>
      </c>
    </row>
    <row r="244" spans="1:16" x14ac:dyDescent="0.3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  <c r="G244" t="str">
        <f>VLOOKUP(InputData4[[#This Row],[PRODUCT ID]],MasterData[],2,0)</f>
        <v>Product34</v>
      </c>
      <c r="H244" t="str">
        <f>VLOOKUP(InputData4[[#This Row],[PRODUCT ID]],MasterData[],3,0)</f>
        <v>Category04</v>
      </c>
      <c r="I244" t="str">
        <f>VLOOKUP(InputData4[[#This Row],[PRODUCT ID]],MasterData[],4,0)</f>
        <v>Lt</v>
      </c>
      <c r="J244" s="9">
        <f>VLOOKUP(InputData4[[#This Row],[PRODUCT ID]],MasterData[],5,0)</f>
        <v>55</v>
      </c>
      <c r="K244" s="9">
        <f>VLOOKUP(InputData4[[#This Row],[PRODUCT ID]],MasterData[],6,0)</f>
        <v>58.3</v>
      </c>
      <c r="L244" s="9">
        <f>InputData4[[#This Row],[QUANTITY]]*InputData4[[#This Row],[BUYING PRIZE]]</f>
        <v>110</v>
      </c>
      <c r="M244" s="9">
        <f>InputData4[[#This Row],[QUANTITY]]*InputData4[[#This Row],[SELLING PRICE]]*(1-InputData4[[#This Row],[DISCOUNT %]])</f>
        <v>116.6</v>
      </c>
      <c r="N244" s="7">
        <f>DAY(InputData4[[#This Row],[DATE]])</f>
        <v>3</v>
      </c>
      <c r="O244" s="7">
        <f>MONTH(InputData4[[#This Row],[DATE]])</f>
        <v>12</v>
      </c>
      <c r="P244" s="7">
        <f>YEAR(InputData4[[#This Row],[DATE]])</f>
        <v>2021</v>
      </c>
    </row>
    <row r="245" spans="1:16" x14ac:dyDescent="0.3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  <c r="G245" t="str">
        <f>VLOOKUP(InputData4[[#This Row],[PRODUCT ID]],MasterData[],2,0)</f>
        <v>Product19</v>
      </c>
      <c r="H245" t="str">
        <f>VLOOKUP(InputData4[[#This Row],[PRODUCT ID]],MasterData[],3,0)</f>
        <v>Category02</v>
      </c>
      <c r="I245" t="str">
        <f>VLOOKUP(InputData4[[#This Row],[PRODUCT ID]],MasterData[],4,0)</f>
        <v>Ft</v>
      </c>
      <c r="J245" s="9">
        <f>VLOOKUP(InputData4[[#This Row],[PRODUCT ID]],MasterData[],5,0)</f>
        <v>150</v>
      </c>
      <c r="K245" s="9">
        <f>VLOOKUP(InputData4[[#This Row],[PRODUCT ID]],MasterData[],6,0)</f>
        <v>210</v>
      </c>
      <c r="L245" s="9">
        <f>InputData4[[#This Row],[QUANTITY]]*InputData4[[#This Row],[BUYING PRIZE]]</f>
        <v>1200</v>
      </c>
      <c r="M245" s="9">
        <f>InputData4[[#This Row],[QUANTITY]]*InputData4[[#This Row],[SELLING PRICE]]*(1-InputData4[[#This Row],[DISCOUNT %]])</f>
        <v>1680</v>
      </c>
      <c r="N245" s="7">
        <f>DAY(InputData4[[#This Row],[DATE]])</f>
        <v>3</v>
      </c>
      <c r="O245" s="7">
        <f>MONTH(InputData4[[#This Row],[DATE]])</f>
        <v>12</v>
      </c>
      <c r="P245" s="7">
        <f>YEAR(InputData4[[#This Row],[DATE]])</f>
        <v>2021</v>
      </c>
    </row>
    <row r="246" spans="1:16" x14ac:dyDescent="0.3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  <c r="G246" t="str">
        <f>VLOOKUP(InputData4[[#This Row],[PRODUCT ID]],MasterData[],2,0)</f>
        <v>Product04</v>
      </c>
      <c r="H246" t="str">
        <f>VLOOKUP(InputData4[[#This Row],[PRODUCT ID]],MasterData[],3,0)</f>
        <v>Category01</v>
      </c>
      <c r="I246" t="str">
        <f>VLOOKUP(InputData4[[#This Row],[PRODUCT ID]],MasterData[],4,0)</f>
        <v>Lt</v>
      </c>
      <c r="J246" s="9">
        <f>VLOOKUP(InputData4[[#This Row],[PRODUCT ID]],MasterData[],5,0)</f>
        <v>44</v>
      </c>
      <c r="K246" s="9">
        <f>VLOOKUP(InputData4[[#This Row],[PRODUCT ID]],MasterData[],6,0)</f>
        <v>48.84</v>
      </c>
      <c r="L246" s="9">
        <f>InputData4[[#This Row],[QUANTITY]]*InputData4[[#This Row],[BUYING PRIZE]]</f>
        <v>660</v>
      </c>
      <c r="M246" s="9">
        <f>InputData4[[#This Row],[QUANTITY]]*InputData4[[#This Row],[SELLING PRICE]]*(1-InputData4[[#This Row],[DISCOUNT %]])</f>
        <v>732.6</v>
      </c>
      <c r="N246" s="7">
        <f>DAY(InputData4[[#This Row],[DATE]])</f>
        <v>5</v>
      </c>
      <c r="O246" s="7">
        <f>MONTH(InputData4[[#This Row],[DATE]])</f>
        <v>12</v>
      </c>
      <c r="P246" s="7">
        <f>YEAR(InputData4[[#This Row],[DATE]])</f>
        <v>2021</v>
      </c>
    </row>
    <row r="247" spans="1:16" x14ac:dyDescent="0.3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  <c r="G247" t="str">
        <f>VLOOKUP(InputData4[[#This Row],[PRODUCT ID]],MasterData[],2,0)</f>
        <v>Product10</v>
      </c>
      <c r="H247" t="str">
        <f>VLOOKUP(InputData4[[#This Row],[PRODUCT ID]],MasterData[],3,0)</f>
        <v>Category02</v>
      </c>
      <c r="I247" t="str">
        <f>VLOOKUP(InputData4[[#This Row],[PRODUCT ID]],MasterData[],4,0)</f>
        <v>Ft</v>
      </c>
      <c r="J247" s="9">
        <f>VLOOKUP(InputData4[[#This Row],[PRODUCT ID]],MasterData[],5,0)</f>
        <v>148</v>
      </c>
      <c r="K247" s="9">
        <f>VLOOKUP(InputData4[[#This Row],[PRODUCT ID]],MasterData[],6,0)</f>
        <v>164.28</v>
      </c>
      <c r="L247" s="9">
        <f>InputData4[[#This Row],[QUANTITY]]*InputData4[[#This Row],[BUYING PRIZE]]</f>
        <v>148</v>
      </c>
      <c r="M247" s="9">
        <f>InputData4[[#This Row],[QUANTITY]]*InputData4[[#This Row],[SELLING PRICE]]*(1-InputData4[[#This Row],[DISCOUNT %]])</f>
        <v>164.28</v>
      </c>
      <c r="N247" s="7">
        <f>DAY(InputData4[[#This Row],[DATE]])</f>
        <v>5</v>
      </c>
      <c r="O247" s="7">
        <f>MONTH(InputData4[[#This Row],[DATE]])</f>
        <v>12</v>
      </c>
      <c r="P247" s="7">
        <f>YEAR(InputData4[[#This Row],[DATE]])</f>
        <v>2021</v>
      </c>
    </row>
    <row r="248" spans="1:16" x14ac:dyDescent="0.3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  <c r="G248" t="str">
        <f>VLOOKUP(InputData4[[#This Row],[PRODUCT ID]],MasterData[],2,0)</f>
        <v>Product13</v>
      </c>
      <c r="H248" t="str">
        <f>VLOOKUP(InputData4[[#This Row],[PRODUCT ID]],MasterData[],3,0)</f>
        <v>Category02</v>
      </c>
      <c r="I248" t="str">
        <f>VLOOKUP(InputData4[[#This Row],[PRODUCT ID]],MasterData[],4,0)</f>
        <v>Kg</v>
      </c>
      <c r="J248" s="9">
        <f>VLOOKUP(InputData4[[#This Row],[PRODUCT ID]],MasterData[],5,0)</f>
        <v>112</v>
      </c>
      <c r="K248" s="9">
        <f>VLOOKUP(InputData4[[#This Row],[PRODUCT ID]],MasterData[],6,0)</f>
        <v>122.08</v>
      </c>
      <c r="L248" s="9">
        <f>InputData4[[#This Row],[QUANTITY]]*InputData4[[#This Row],[BUYING PRIZE]]</f>
        <v>896</v>
      </c>
      <c r="M248" s="9">
        <f>InputData4[[#This Row],[QUANTITY]]*InputData4[[#This Row],[SELLING PRICE]]*(1-InputData4[[#This Row],[DISCOUNT %]])</f>
        <v>976.64</v>
      </c>
      <c r="N248" s="7">
        <f>DAY(InputData4[[#This Row],[DATE]])</f>
        <v>7</v>
      </c>
      <c r="O248" s="7">
        <f>MONTH(InputData4[[#This Row],[DATE]])</f>
        <v>12</v>
      </c>
      <c r="P248" s="7">
        <f>YEAR(InputData4[[#This Row],[DATE]])</f>
        <v>2021</v>
      </c>
    </row>
    <row r="249" spans="1:16" x14ac:dyDescent="0.3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  <c r="G249" t="str">
        <f>VLOOKUP(InputData4[[#This Row],[PRODUCT ID]],MasterData[],2,0)</f>
        <v>Product44</v>
      </c>
      <c r="H249" t="str">
        <f>VLOOKUP(InputData4[[#This Row],[PRODUCT ID]],MasterData[],3,0)</f>
        <v>Category05</v>
      </c>
      <c r="I249" t="str">
        <f>VLOOKUP(InputData4[[#This Row],[PRODUCT ID]],MasterData[],4,0)</f>
        <v>Kg</v>
      </c>
      <c r="J249" s="9">
        <f>VLOOKUP(InputData4[[#This Row],[PRODUCT ID]],MasterData[],5,0)</f>
        <v>76</v>
      </c>
      <c r="K249" s="9">
        <f>VLOOKUP(InputData4[[#This Row],[PRODUCT ID]],MasterData[],6,0)</f>
        <v>82.08</v>
      </c>
      <c r="L249" s="9">
        <f>InputData4[[#This Row],[QUANTITY]]*InputData4[[#This Row],[BUYING PRIZE]]</f>
        <v>1064</v>
      </c>
      <c r="M249" s="9">
        <f>InputData4[[#This Row],[QUANTITY]]*InputData4[[#This Row],[SELLING PRICE]]*(1-InputData4[[#This Row],[DISCOUNT %]])</f>
        <v>1149.1199999999999</v>
      </c>
      <c r="N249" s="7">
        <f>DAY(InputData4[[#This Row],[DATE]])</f>
        <v>8</v>
      </c>
      <c r="O249" s="7">
        <f>MONTH(InputData4[[#This Row],[DATE]])</f>
        <v>12</v>
      </c>
      <c r="P249" s="7">
        <f>YEAR(InputData4[[#This Row],[DATE]])</f>
        <v>2021</v>
      </c>
    </row>
    <row r="250" spans="1:16" x14ac:dyDescent="0.3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  <c r="G250" t="str">
        <f>VLOOKUP(InputData4[[#This Row],[PRODUCT ID]],MasterData[],2,0)</f>
        <v>Product42</v>
      </c>
      <c r="H250" t="str">
        <f>VLOOKUP(InputData4[[#This Row],[PRODUCT ID]],MasterData[],3,0)</f>
        <v>Category05</v>
      </c>
      <c r="I250" t="str">
        <f>VLOOKUP(InputData4[[#This Row],[PRODUCT ID]],MasterData[],4,0)</f>
        <v>Ft</v>
      </c>
      <c r="J250" s="9">
        <f>VLOOKUP(InputData4[[#This Row],[PRODUCT ID]],MasterData[],5,0)</f>
        <v>120</v>
      </c>
      <c r="K250" s="9">
        <f>VLOOKUP(InputData4[[#This Row],[PRODUCT ID]],MasterData[],6,0)</f>
        <v>162</v>
      </c>
      <c r="L250" s="9">
        <f>InputData4[[#This Row],[QUANTITY]]*InputData4[[#This Row],[BUYING PRIZE]]</f>
        <v>480</v>
      </c>
      <c r="M250" s="9">
        <f>InputData4[[#This Row],[QUANTITY]]*InputData4[[#This Row],[SELLING PRICE]]*(1-InputData4[[#This Row],[DISCOUNT %]])</f>
        <v>648</v>
      </c>
      <c r="N250" s="7">
        <f>DAY(InputData4[[#This Row],[DATE]])</f>
        <v>14</v>
      </c>
      <c r="O250" s="7">
        <f>MONTH(InputData4[[#This Row],[DATE]])</f>
        <v>12</v>
      </c>
      <c r="P250" s="7">
        <f>YEAR(InputData4[[#This Row],[DATE]])</f>
        <v>2021</v>
      </c>
    </row>
    <row r="251" spans="1:16" x14ac:dyDescent="0.3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  <c r="G251" t="str">
        <f>VLOOKUP(InputData4[[#This Row],[PRODUCT ID]],MasterData[],2,0)</f>
        <v>Product03</v>
      </c>
      <c r="H251" t="str">
        <f>VLOOKUP(InputData4[[#This Row],[PRODUCT ID]],MasterData[],3,0)</f>
        <v>Category01</v>
      </c>
      <c r="I251" t="str">
        <f>VLOOKUP(InputData4[[#This Row],[PRODUCT ID]],MasterData[],4,0)</f>
        <v>Kg</v>
      </c>
      <c r="J251" s="9">
        <f>VLOOKUP(InputData4[[#This Row],[PRODUCT ID]],MasterData[],5,0)</f>
        <v>71</v>
      </c>
      <c r="K251" s="9">
        <f>VLOOKUP(InputData4[[#This Row],[PRODUCT ID]],MasterData[],6,0)</f>
        <v>80.94</v>
      </c>
      <c r="L251" s="9">
        <f>InputData4[[#This Row],[QUANTITY]]*InputData4[[#This Row],[BUYING PRIZE]]</f>
        <v>142</v>
      </c>
      <c r="M251" s="9">
        <f>InputData4[[#This Row],[QUANTITY]]*InputData4[[#This Row],[SELLING PRICE]]*(1-InputData4[[#This Row],[DISCOUNT %]])</f>
        <v>161.88</v>
      </c>
      <c r="N251" s="7">
        <f>DAY(InputData4[[#This Row],[DATE]])</f>
        <v>18</v>
      </c>
      <c r="O251" s="7">
        <f>MONTH(InputData4[[#This Row],[DATE]])</f>
        <v>12</v>
      </c>
      <c r="P251" s="7">
        <f>YEAR(InputData4[[#This Row],[DATE]])</f>
        <v>2021</v>
      </c>
    </row>
    <row r="252" spans="1:16" x14ac:dyDescent="0.3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  <c r="G252" t="str">
        <f>VLOOKUP(InputData4[[#This Row],[PRODUCT ID]],MasterData[],2,0)</f>
        <v>Product22</v>
      </c>
      <c r="H252" t="str">
        <f>VLOOKUP(InputData4[[#This Row],[PRODUCT ID]],MasterData[],3,0)</f>
        <v>Category03</v>
      </c>
      <c r="I252" t="str">
        <f>VLOOKUP(InputData4[[#This Row],[PRODUCT ID]],MasterData[],4,0)</f>
        <v>Ft</v>
      </c>
      <c r="J252" s="9">
        <f>VLOOKUP(InputData4[[#This Row],[PRODUCT ID]],MasterData[],5,0)</f>
        <v>121</v>
      </c>
      <c r="K252" s="9">
        <f>VLOOKUP(InputData4[[#This Row],[PRODUCT ID]],MasterData[],6,0)</f>
        <v>141.57</v>
      </c>
      <c r="L252" s="9">
        <f>InputData4[[#This Row],[QUANTITY]]*InputData4[[#This Row],[BUYING PRIZE]]</f>
        <v>968</v>
      </c>
      <c r="M252" s="9">
        <f>InputData4[[#This Row],[QUANTITY]]*InputData4[[#This Row],[SELLING PRICE]]*(1-InputData4[[#This Row],[DISCOUNT %]])</f>
        <v>1132.56</v>
      </c>
      <c r="N252" s="7">
        <f>DAY(InputData4[[#This Row],[DATE]])</f>
        <v>18</v>
      </c>
      <c r="O252" s="7">
        <f>MONTH(InputData4[[#This Row],[DATE]])</f>
        <v>12</v>
      </c>
      <c r="P252" s="7">
        <f>YEAR(InputData4[[#This Row],[DATE]])</f>
        <v>2021</v>
      </c>
    </row>
    <row r="253" spans="1:16" x14ac:dyDescent="0.3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  <c r="G253" t="str">
        <f>VLOOKUP(InputData4[[#This Row],[PRODUCT ID]],MasterData[],2,0)</f>
        <v>Product23</v>
      </c>
      <c r="H253" t="str">
        <f>VLOOKUP(InputData4[[#This Row],[PRODUCT ID]],MasterData[],3,0)</f>
        <v>Category03</v>
      </c>
      <c r="I253" t="str">
        <f>VLOOKUP(InputData4[[#This Row],[PRODUCT ID]],MasterData[],4,0)</f>
        <v>Ft</v>
      </c>
      <c r="J253" s="9">
        <f>VLOOKUP(InputData4[[#This Row],[PRODUCT ID]],MasterData[],5,0)</f>
        <v>141</v>
      </c>
      <c r="K253" s="9">
        <f>VLOOKUP(InputData4[[#This Row],[PRODUCT ID]],MasterData[],6,0)</f>
        <v>149.46</v>
      </c>
      <c r="L253" s="9">
        <f>InputData4[[#This Row],[QUANTITY]]*InputData4[[#This Row],[BUYING PRIZE]]</f>
        <v>1692</v>
      </c>
      <c r="M253" s="9">
        <f>InputData4[[#This Row],[QUANTITY]]*InputData4[[#This Row],[SELLING PRICE]]*(1-InputData4[[#This Row],[DISCOUNT %]])</f>
        <v>1793.52</v>
      </c>
      <c r="N253" s="7">
        <f>DAY(InputData4[[#This Row],[DATE]])</f>
        <v>19</v>
      </c>
      <c r="O253" s="7">
        <f>MONTH(InputData4[[#This Row],[DATE]])</f>
        <v>12</v>
      </c>
      <c r="P253" s="7">
        <f>YEAR(InputData4[[#This Row],[DATE]])</f>
        <v>2021</v>
      </c>
    </row>
    <row r="254" spans="1:16" x14ac:dyDescent="0.3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  <c r="G254" t="str">
        <f>VLOOKUP(InputData4[[#This Row],[PRODUCT ID]],MasterData[],2,0)</f>
        <v>Product29</v>
      </c>
      <c r="H254" t="str">
        <f>VLOOKUP(InputData4[[#This Row],[PRODUCT ID]],MasterData[],3,0)</f>
        <v>Category04</v>
      </c>
      <c r="I254" t="str">
        <f>VLOOKUP(InputData4[[#This Row],[PRODUCT ID]],MasterData[],4,0)</f>
        <v>Lt</v>
      </c>
      <c r="J254" s="9">
        <f>VLOOKUP(InputData4[[#This Row],[PRODUCT ID]],MasterData[],5,0)</f>
        <v>47</v>
      </c>
      <c r="K254" s="9">
        <f>VLOOKUP(InputData4[[#This Row],[PRODUCT ID]],MasterData[],6,0)</f>
        <v>53.11</v>
      </c>
      <c r="L254" s="9">
        <f>InputData4[[#This Row],[QUANTITY]]*InputData4[[#This Row],[BUYING PRIZE]]</f>
        <v>141</v>
      </c>
      <c r="M254" s="9">
        <f>InputData4[[#This Row],[QUANTITY]]*InputData4[[#This Row],[SELLING PRICE]]*(1-InputData4[[#This Row],[DISCOUNT %]])</f>
        <v>159.32999999999998</v>
      </c>
      <c r="N254" s="7">
        <f>DAY(InputData4[[#This Row],[DATE]])</f>
        <v>19</v>
      </c>
      <c r="O254" s="7">
        <f>MONTH(InputData4[[#This Row],[DATE]])</f>
        <v>12</v>
      </c>
      <c r="P254" s="7">
        <f>YEAR(InputData4[[#This Row],[DATE]])</f>
        <v>2021</v>
      </c>
    </row>
    <row r="255" spans="1:16" x14ac:dyDescent="0.3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  <c r="G255" t="str">
        <f>VLOOKUP(InputData4[[#This Row],[PRODUCT ID]],MasterData[],2,0)</f>
        <v>Product11</v>
      </c>
      <c r="H255" t="str">
        <f>VLOOKUP(InputData4[[#This Row],[PRODUCT ID]],MasterData[],3,0)</f>
        <v>Category02</v>
      </c>
      <c r="I255" t="str">
        <f>VLOOKUP(InputData4[[#This Row],[PRODUCT ID]],MasterData[],4,0)</f>
        <v>Lt</v>
      </c>
      <c r="J255" s="9">
        <f>VLOOKUP(InputData4[[#This Row],[PRODUCT ID]],MasterData[],5,0)</f>
        <v>44</v>
      </c>
      <c r="K255" s="9">
        <f>VLOOKUP(InputData4[[#This Row],[PRODUCT ID]],MasterData[],6,0)</f>
        <v>48.4</v>
      </c>
      <c r="L255" s="9">
        <f>InputData4[[#This Row],[QUANTITY]]*InputData4[[#This Row],[BUYING PRIZE]]</f>
        <v>440</v>
      </c>
      <c r="M255" s="9">
        <f>InputData4[[#This Row],[QUANTITY]]*InputData4[[#This Row],[SELLING PRICE]]*(1-InputData4[[#This Row],[DISCOUNT %]])</f>
        <v>484</v>
      </c>
      <c r="N255" s="7">
        <f>DAY(InputData4[[#This Row],[DATE]])</f>
        <v>19</v>
      </c>
      <c r="O255" s="7">
        <f>MONTH(InputData4[[#This Row],[DATE]])</f>
        <v>12</v>
      </c>
      <c r="P255" s="7">
        <f>YEAR(InputData4[[#This Row],[DATE]])</f>
        <v>2021</v>
      </c>
    </row>
    <row r="256" spans="1:16" x14ac:dyDescent="0.3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  <c r="G256" t="str">
        <f>VLOOKUP(InputData4[[#This Row],[PRODUCT ID]],MasterData[],2,0)</f>
        <v>Product12</v>
      </c>
      <c r="H256" t="str">
        <f>VLOOKUP(InputData4[[#This Row],[PRODUCT ID]],MasterData[],3,0)</f>
        <v>Category02</v>
      </c>
      <c r="I256" t="str">
        <f>VLOOKUP(InputData4[[#This Row],[PRODUCT ID]],MasterData[],4,0)</f>
        <v>Kg</v>
      </c>
      <c r="J256" s="9">
        <f>VLOOKUP(InputData4[[#This Row],[PRODUCT ID]],MasterData[],5,0)</f>
        <v>73</v>
      </c>
      <c r="K256" s="9">
        <f>VLOOKUP(InputData4[[#This Row],[PRODUCT ID]],MasterData[],6,0)</f>
        <v>94.17</v>
      </c>
      <c r="L256" s="9">
        <f>InputData4[[#This Row],[QUANTITY]]*InputData4[[#This Row],[BUYING PRIZE]]</f>
        <v>1022</v>
      </c>
      <c r="M256" s="9">
        <f>InputData4[[#This Row],[QUANTITY]]*InputData4[[#This Row],[SELLING PRICE]]*(1-InputData4[[#This Row],[DISCOUNT %]])</f>
        <v>1318.38</v>
      </c>
      <c r="N256" s="7">
        <f>DAY(InputData4[[#This Row],[DATE]])</f>
        <v>20</v>
      </c>
      <c r="O256" s="7">
        <f>MONTH(InputData4[[#This Row],[DATE]])</f>
        <v>12</v>
      </c>
      <c r="P256" s="7">
        <f>YEAR(InputData4[[#This Row],[DATE]])</f>
        <v>2021</v>
      </c>
    </row>
    <row r="257" spans="1:16" x14ac:dyDescent="0.3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  <c r="G257" t="str">
        <f>VLOOKUP(InputData4[[#This Row],[PRODUCT ID]],MasterData[],2,0)</f>
        <v>Product26</v>
      </c>
      <c r="H257" t="str">
        <f>VLOOKUP(InputData4[[#This Row],[PRODUCT ID]],MasterData[],3,0)</f>
        <v>Category04</v>
      </c>
      <c r="I257" t="str">
        <f>VLOOKUP(InputData4[[#This Row],[PRODUCT ID]],MasterData[],4,0)</f>
        <v>No.</v>
      </c>
      <c r="J257" s="9">
        <f>VLOOKUP(InputData4[[#This Row],[PRODUCT ID]],MasterData[],5,0)</f>
        <v>18</v>
      </c>
      <c r="K257" s="9">
        <f>VLOOKUP(InputData4[[#This Row],[PRODUCT ID]],MasterData[],6,0)</f>
        <v>24.66</v>
      </c>
      <c r="L257" s="9">
        <f>InputData4[[#This Row],[QUANTITY]]*InputData4[[#This Row],[BUYING PRIZE]]</f>
        <v>180</v>
      </c>
      <c r="M257" s="9">
        <f>InputData4[[#This Row],[QUANTITY]]*InputData4[[#This Row],[SELLING PRICE]]*(1-InputData4[[#This Row],[DISCOUNT %]])</f>
        <v>246.6</v>
      </c>
      <c r="N257" s="7">
        <f>DAY(InputData4[[#This Row],[DATE]])</f>
        <v>21</v>
      </c>
      <c r="O257" s="7">
        <f>MONTH(InputData4[[#This Row],[DATE]])</f>
        <v>12</v>
      </c>
      <c r="P257" s="7">
        <f>YEAR(InputData4[[#This Row],[DATE]])</f>
        <v>2021</v>
      </c>
    </row>
    <row r="258" spans="1:16" x14ac:dyDescent="0.3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  <c r="G258" t="str">
        <f>VLOOKUP(InputData4[[#This Row],[PRODUCT ID]],MasterData[],2,0)</f>
        <v>Product42</v>
      </c>
      <c r="H258" t="str">
        <f>VLOOKUP(InputData4[[#This Row],[PRODUCT ID]],MasterData[],3,0)</f>
        <v>Category05</v>
      </c>
      <c r="I258" t="str">
        <f>VLOOKUP(InputData4[[#This Row],[PRODUCT ID]],MasterData[],4,0)</f>
        <v>Ft</v>
      </c>
      <c r="J258" s="9">
        <f>VLOOKUP(InputData4[[#This Row],[PRODUCT ID]],MasterData[],5,0)</f>
        <v>120</v>
      </c>
      <c r="K258" s="9">
        <f>VLOOKUP(InputData4[[#This Row],[PRODUCT ID]],MasterData[],6,0)</f>
        <v>162</v>
      </c>
      <c r="L258" s="9">
        <f>InputData4[[#This Row],[QUANTITY]]*InputData4[[#This Row],[BUYING PRIZE]]</f>
        <v>960</v>
      </c>
      <c r="M258" s="9">
        <f>InputData4[[#This Row],[QUANTITY]]*InputData4[[#This Row],[SELLING PRICE]]*(1-InputData4[[#This Row],[DISCOUNT %]])</f>
        <v>1296</v>
      </c>
      <c r="N258" s="7">
        <f>DAY(InputData4[[#This Row],[DATE]])</f>
        <v>24</v>
      </c>
      <c r="O258" s="7">
        <f>MONTH(InputData4[[#This Row],[DATE]])</f>
        <v>12</v>
      </c>
      <c r="P258" s="7">
        <f>YEAR(InputData4[[#This Row],[DATE]])</f>
        <v>2021</v>
      </c>
    </row>
    <row r="259" spans="1:16" x14ac:dyDescent="0.3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  <c r="G259" t="str">
        <f>VLOOKUP(InputData4[[#This Row],[PRODUCT ID]],MasterData[],2,0)</f>
        <v>Product36</v>
      </c>
      <c r="H259" t="str">
        <f>VLOOKUP(InputData4[[#This Row],[PRODUCT ID]],MasterData[],3,0)</f>
        <v>Category04</v>
      </c>
      <c r="I259" t="str">
        <f>VLOOKUP(InputData4[[#This Row],[PRODUCT ID]],MasterData[],4,0)</f>
        <v>Kg</v>
      </c>
      <c r="J259" s="9">
        <f>VLOOKUP(InputData4[[#This Row],[PRODUCT ID]],MasterData[],5,0)</f>
        <v>90</v>
      </c>
      <c r="K259" s="9">
        <f>VLOOKUP(InputData4[[#This Row],[PRODUCT ID]],MasterData[],6,0)</f>
        <v>96.3</v>
      </c>
      <c r="L259" s="9">
        <f>InputData4[[#This Row],[QUANTITY]]*InputData4[[#This Row],[BUYING PRIZE]]</f>
        <v>720</v>
      </c>
      <c r="M259" s="9">
        <f>InputData4[[#This Row],[QUANTITY]]*InputData4[[#This Row],[SELLING PRICE]]*(1-InputData4[[#This Row],[DISCOUNT %]])</f>
        <v>770.4</v>
      </c>
      <c r="N259" s="7">
        <f>DAY(InputData4[[#This Row],[DATE]])</f>
        <v>24</v>
      </c>
      <c r="O259" s="7">
        <f>MONTH(InputData4[[#This Row],[DATE]])</f>
        <v>12</v>
      </c>
      <c r="P259" s="7">
        <f>YEAR(InputData4[[#This Row],[DATE]])</f>
        <v>2021</v>
      </c>
    </row>
    <row r="260" spans="1:16" x14ac:dyDescent="0.3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  <c r="G260" t="str">
        <f>VLOOKUP(InputData4[[#This Row],[PRODUCT ID]],MasterData[],2,0)</f>
        <v>Product41</v>
      </c>
      <c r="H260" t="str">
        <f>VLOOKUP(InputData4[[#This Row],[PRODUCT ID]],MasterData[],3,0)</f>
        <v>Category05</v>
      </c>
      <c r="I260" t="str">
        <f>VLOOKUP(InputData4[[#This Row],[PRODUCT ID]],MasterData[],4,0)</f>
        <v>Ft</v>
      </c>
      <c r="J260" s="9">
        <f>VLOOKUP(InputData4[[#This Row],[PRODUCT ID]],MasterData[],5,0)</f>
        <v>138</v>
      </c>
      <c r="K260" s="9">
        <f>VLOOKUP(InputData4[[#This Row],[PRODUCT ID]],MasterData[],6,0)</f>
        <v>173.88</v>
      </c>
      <c r="L260" s="9">
        <f>InputData4[[#This Row],[QUANTITY]]*InputData4[[#This Row],[BUYING PRIZE]]</f>
        <v>1932</v>
      </c>
      <c r="M260" s="9">
        <f>InputData4[[#This Row],[QUANTITY]]*InputData4[[#This Row],[SELLING PRICE]]*(1-InputData4[[#This Row],[DISCOUNT %]])</f>
        <v>2434.3199999999997</v>
      </c>
      <c r="N260" s="7">
        <f>DAY(InputData4[[#This Row],[DATE]])</f>
        <v>26</v>
      </c>
      <c r="O260" s="7">
        <f>MONTH(InputData4[[#This Row],[DATE]])</f>
        <v>12</v>
      </c>
      <c r="P260" s="7">
        <f>YEAR(InputData4[[#This Row],[DATE]])</f>
        <v>2021</v>
      </c>
    </row>
    <row r="261" spans="1:16" x14ac:dyDescent="0.3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  <c r="G261" t="str">
        <f>VLOOKUP(InputData4[[#This Row],[PRODUCT ID]],MasterData[],2,0)</f>
        <v>Product29</v>
      </c>
      <c r="H261" t="str">
        <f>VLOOKUP(InputData4[[#This Row],[PRODUCT ID]],MasterData[],3,0)</f>
        <v>Category04</v>
      </c>
      <c r="I261" t="str">
        <f>VLOOKUP(InputData4[[#This Row],[PRODUCT ID]],MasterData[],4,0)</f>
        <v>Lt</v>
      </c>
      <c r="J261" s="9">
        <f>VLOOKUP(InputData4[[#This Row],[PRODUCT ID]],MasterData[],5,0)</f>
        <v>47</v>
      </c>
      <c r="K261" s="9">
        <f>VLOOKUP(InputData4[[#This Row],[PRODUCT ID]],MasterData[],6,0)</f>
        <v>53.11</v>
      </c>
      <c r="L261" s="9">
        <f>InputData4[[#This Row],[QUANTITY]]*InputData4[[#This Row],[BUYING PRIZE]]</f>
        <v>658</v>
      </c>
      <c r="M261" s="9">
        <f>InputData4[[#This Row],[QUANTITY]]*InputData4[[#This Row],[SELLING PRICE]]*(1-InputData4[[#This Row],[DISCOUNT %]])</f>
        <v>743.54</v>
      </c>
      <c r="N261" s="7">
        <f>DAY(InputData4[[#This Row],[DATE]])</f>
        <v>27</v>
      </c>
      <c r="O261" s="7">
        <f>MONTH(InputData4[[#This Row],[DATE]])</f>
        <v>12</v>
      </c>
      <c r="P261" s="7">
        <f>YEAR(InputData4[[#This Row],[DATE]])</f>
        <v>2021</v>
      </c>
    </row>
    <row r="262" spans="1:16" x14ac:dyDescent="0.3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  <c r="G262" t="str">
        <f>VLOOKUP(InputData4[[#This Row],[PRODUCT ID]],MasterData[],2,0)</f>
        <v>Product29</v>
      </c>
      <c r="H262" t="str">
        <f>VLOOKUP(InputData4[[#This Row],[PRODUCT ID]],MasterData[],3,0)</f>
        <v>Category04</v>
      </c>
      <c r="I262" t="str">
        <f>VLOOKUP(InputData4[[#This Row],[PRODUCT ID]],MasterData[],4,0)</f>
        <v>Lt</v>
      </c>
      <c r="J262" s="9">
        <f>VLOOKUP(InputData4[[#This Row],[PRODUCT ID]],MasterData[],5,0)</f>
        <v>47</v>
      </c>
      <c r="K262" s="9">
        <f>VLOOKUP(InputData4[[#This Row],[PRODUCT ID]],MasterData[],6,0)</f>
        <v>53.11</v>
      </c>
      <c r="L262" s="9">
        <f>InputData4[[#This Row],[QUANTITY]]*InputData4[[#This Row],[BUYING PRIZE]]</f>
        <v>282</v>
      </c>
      <c r="M262" s="9">
        <f>InputData4[[#This Row],[QUANTITY]]*InputData4[[#This Row],[SELLING PRICE]]*(1-InputData4[[#This Row],[DISCOUNT %]])</f>
        <v>318.65999999999997</v>
      </c>
      <c r="N262" s="7">
        <f>DAY(InputData4[[#This Row],[DATE]])</f>
        <v>28</v>
      </c>
      <c r="O262" s="7">
        <f>MONTH(InputData4[[#This Row],[DATE]])</f>
        <v>12</v>
      </c>
      <c r="P262" s="7">
        <f>YEAR(InputData4[[#This Row],[DATE]])</f>
        <v>2021</v>
      </c>
    </row>
    <row r="263" spans="1:16" x14ac:dyDescent="0.3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  <c r="G263" t="str">
        <f>VLOOKUP(InputData4[[#This Row],[PRODUCT ID]],MasterData[],2,0)</f>
        <v>Product10</v>
      </c>
      <c r="H263" t="str">
        <f>VLOOKUP(InputData4[[#This Row],[PRODUCT ID]],MasterData[],3,0)</f>
        <v>Category02</v>
      </c>
      <c r="I263" t="str">
        <f>VLOOKUP(InputData4[[#This Row],[PRODUCT ID]],MasterData[],4,0)</f>
        <v>Ft</v>
      </c>
      <c r="J263" s="9">
        <f>VLOOKUP(InputData4[[#This Row],[PRODUCT ID]],MasterData[],5,0)</f>
        <v>148</v>
      </c>
      <c r="K263" s="9">
        <f>VLOOKUP(InputData4[[#This Row],[PRODUCT ID]],MasterData[],6,0)</f>
        <v>164.28</v>
      </c>
      <c r="L263" s="9">
        <f>InputData4[[#This Row],[QUANTITY]]*InputData4[[#This Row],[BUYING PRIZE]]</f>
        <v>1924</v>
      </c>
      <c r="M263" s="9">
        <f>InputData4[[#This Row],[QUANTITY]]*InputData4[[#This Row],[SELLING PRICE]]*(1-InputData4[[#This Row],[DISCOUNT %]])</f>
        <v>2135.64</v>
      </c>
      <c r="N263" s="7">
        <f>DAY(InputData4[[#This Row],[DATE]])</f>
        <v>30</v>
      </c>
      <c r="O263" s="7">
        <f>MONTH(InputData4[[#This Row],[DATE]])</f>
        <v>12</v>
      </c>
      <c r="P263" s="7">
        <f>YEAR(InputData4[[#This Row],[DATE]])</f>
        <v>2021</v>
      </c>
    </row>
    <row r="264" spans="1:16" x14ac:dyDescent="0.3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  <c r="G264" t="str">
        <f>VLOOKUP(InputData4[[#This Row],[PRODUCT ID]],MasterData[],2,0)</f>
        <v>Product22</v>
      </c>
      <c r="H264" t="str">
        <f>VLOOKUP(InputData4[[#This Row],[PRODUCT ID]],MasterData[],3,0)</f>
        <v>Category03</v>
      </c>
      <c r="I264" t="str">
        <f>VLOOKUP(InputData4[[#This Row],[PRODUCT ID]],MasterData[],4,0)</f>
        <v>Ft</v>
      </c>
      <c r="J264" s="9">
        <f>VLOOKUP(InputData4[[#This Row],[PRODUCT ID]],MasterData[],5,0)</f>
        <v>121</v>
      </c>
      <c r="K264" s="9">
        <f>VLOOKUP(InputData4[[#This Row],[PRODUCT ID]],MasterData[],6,0)</f>
        <v>141.57</v>
      </c>
      <c r="L264" s="9">
        <f>InputData4[[#This Row],[QUANTITY]]*InputData4[[#This Row],[BUYING PRIZE]]</f>
        <v>121</v>
      </c>
      <c r="M264" s="9">
        <f>InputData4[[#This Row],[QUANTITY]]*InputData4[[#This Row],[SELLING PRICE]]*(1-InputData4[[#This Row],[DISCOUNT %]])</f>
        <v>141.57</v>
      </c>
      <c r="N264" s="7">
        <f>DAY(InputData4[[#This Row],[DATE]])</f>
        <v>1</v>
      </c>
      <c r="O264" s="7">
        <f>MONTH(InputData4[[#This Row],[DATE]])</f>
        <v>1</v>
      </c>
      <c r="P264" s="7">
        <f>YEAR(InputData4[[#This Row],[DATE]])</f>
        <v>2022</v>
      </c>
    </row>
    <row r="265" spans="1:16" x14ac:dyDescent="0.3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  <c r="G265" t="str">
        <f>VLOOKUP(InputData4[[#This Row],[PRODUCT ID]],MasterData[],2,0)</f>
        <v>Product10</v>
      </c>
      <c r="H265" t="str">
        <f>VLOOKUP(InputData4[[#This Row],[PRODUCT ID]],MasterData[],3,0)</f>
        <v>Category02</v>
      </c>
      <c r="I265" t="str">
        <f>VLOOKUP(InputData4[[#This Row],[PRODUCT ID]],MasterData[],4,0)</f>
        <v>Ft</v>
      </c>
      <c r="J265" s="9">
        <f>VLOOKUP(InputData4[[#This Row],[PRODUCT ID]],MasterData[],5,0)</f>
        <v>148</v>
      </c>
      <c r="K265" s="9">
        <f>VLOOKUP(InputData4[[#This Row],[PRODUCT ID]],MasterData[],6,0)</f>
        <v>164.28</v>
      </c>
      <c r="L265" s="9">
        <f>InputData4[[#This Row],[QUANTITY]]*InputData4[[#This Row],[BUYING PRIZE]]</f>
        <v>1036</v>
      </c>
      <c r="M265" s="9">
        <f>InputData4[[#This Row],[QUANTITY]]*InputData4[[#This Row],[SELLING PRICE]]*(1-InputData4[[#This Row],[DISCOUNT %]])</f>
        <v>1149.96</v>
      </c>
      <c r="N265" s="7">
        <f>DAY(InputData4[[#This Row],[DATE]])</f>
        <v>2</v>
      </c>
      <c r="O265" s="7">
        <f>MONTH(InputData4[[#This Row],[DATE]])</f>
        <v>1</v>
      </c>
      <c r="P265" s="7">
        <f>YEAR(InputData4[[#This Row],[DATE]])</f>
        <v>2022</v>
      </c>
    </row>
    <row r="266" spans="1:16" x14ac:dyDescent="0.3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  <c r="G266" t="str">
        <f>VLOOKUP(InputData4[[#This Row],[PRODUCT ID]],MasterData[],2,0)</f>
        <v>Product15</v>
      </c>
      <c r="H266" t="str">
        <f>VLOOKUP(InputData4[[#This Row],[PRODUCT ID]],MasterData[],3,0)</f>
        <v>Category02</v>
      </c>
      <c r="I266" t="str">
        <f>VLOOKUP(InputData4[[#This Row],[PRODUCT ID]],MasterData[],4,0)</f>
        <v>No.</v>
      </c>
      <c r="J266" s="9">
        <f>VLOOKUP(InputData4[[#This Row],[PRODUCT ID]],MasterData[],5,0)</f>
        <v>12</v>
      </c>
      <c r="K266" s="9">
        <f>VLOOKUP(InputData4[[#This Row],[PRODUCT ID]],MasterData[],6,0)</f>
        <v>15.719999999999999</v>
      </c>
      <c r="L266" s="9">
        <f>InputData4[[#This Row],[QUANTITY]]*InputData4[[#This Row],[BUYING PRIZE]]</f>
        <v>24</v>
      </c>
      <c r="M266" s="9">
        <f>InputData4[[#This Row],[QUANTITY]]*InputData4[[#This Row],[SELLING PRICE]]*(1-InputData4[[#This Row],[DISCOUNT %]])</f>
        <v>31.439999999999998</v>
      </c>
      <c r="N266" s="7">
        <f>DAY(InputData4[[#This Row],[DATE]])</f>
        <v>2</v>
      </c>
      <c r="O266" s="7">
        <f>MONTH(InputData4[[#This Row],[DATE]])</f>
        <v>1</v>
      </c>
      <c r="P266" s="7">
        <f>YEAR(InputData4[[#This Row],[DATE]])</f>
        <v>2022</v>
      </c>
    </row>
    <row r="267" spans="1:16" x14ac:dyDescent="0.3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  <c r="G267" t="str">
        <f>VLOOKUP(InputData4[[#This Row],[PRODUCT ID]],MasterData[],2,0)</f>
        <v>Product33</v>
      </c>
      <c r="H267" t="str">
        <f>VLOOKUP(InputData4[[#This Row],[PRODUCT ID]],MasterData[],3,0)</f>
        <v>Category04</v>
      </c>
      <c r="I267" t="str">
        <f>VLOOKUP(InputData4[[#This Row],[PRODUCT ID]],MasterData[],4,0)</f>
        <v>Kg</v>
      </c>
      <c r="J267" s="9">
        <f>VLOOKUP(InputData4[[#This Row],[PRODUCT ID]],MasterData[],5,0)</f>
        <v>95</v>
      </c>
      <c r="K267" s="9">
        <f>VLOOKUP(InputData4[[#This Row],[PRODUCT ID]],MasterData[],6,0)</f>
        <v>119.7</v>
      </c>
      <c r="L267" s="9">
        <f>InputData4[[#This Row],[QUANTITY]]*InputData4[[#This Row],[BUYING PRIZE]]</f>
        <v>95</v>
      </c>
      <c r="M267" s="9">
        <f>InputData4[[#This Row],[QUANTITY]]*InputData4[[#This Row],[SELLING PRICE]]*(1-InputData4[[#This Row],[DISCOUNT %]])</f>
        <v>119.7</v>
      </c>
      <c r="N267" s="7">
        <f>DAY(InputData4[[#This Row],[DATE]])</f>
        <v>2</v>
      </c>
      <c r="O267" s="7">
        <f>MONTH(InputData4[[#This Row],[DATE]])</f>
        <v>1</v>
      </c>
      <c r="P267" s="7">
        <f>YEAR(InputData4[[#This Row],[DATE]])</f>
        <v>2022</v>
      </c>
    </row>
    <row r="268" spans="1:16" x14ac:dyDescent="0.3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  <c r="G268" t="str">
        <f>VLOOKUP(InputData4[[#This Row],[PRODUCT ID]],MasterData[],2,0)</f>
        <v>Product43</v>
      </c>
      <c r="H268" t="str">
        <f>VLOOKUP(InputData4[[#This Row],[PRODUCT ID]],MasterData[],3,0)</f>
        <v>Category05</v>
      </c>
      <c r="I268" t="str">
        <f>VLOOKUP(InputData4[[#This Row],[PRODUCT ID]],MasterData[],4,0)</f>
        <v>Kg</v>
      </c>
      <c r="J268" s="9">
        <f>VLOOKUP(InputData4[[#This Row],[PRODUCT ID]],MasterData[],5,0)</f>
        <v>67</v>
      </c>
      <c r="K268" s="9">
        <f>VLOOKUP(InputData4[[#This Row],[PRODUCT ID]],MasterData[],6,0)</f>
        <v>83.08</v>
      </c>
      <c r="L268" s="9">
        <f>InputData4[[#This Row],[QUANTITY]]*InputData4[[#This Row],[BUYING PRIZE]]</f>
        <v>603</v>
      </c>
      <c r="M268" s="9">
        <f>InputData4[[#This Row],[QUANTITY]]*InputData4[[#This Row],[SELLING PRICE]]*(1-InputData4[[#This Row],[DISCOUNT %]])</f>
        <v>747.72</v>
      </c>
      <c r="N268" s="7">
        <f>DAY(InputData4[[#This Row],[DATE]])</f>
        <v>3</v>
      </c>
      <c r="O268" s="7">
        <f>MONTH(InputData4[[#This Row],[DATE]])</f>
        <v>1</v>
      </c>
      <c r="P268" s="7">
        <f>YEAR(InputData4[[#This Row],[DATE]])</f>
        <v>2022</v>
      </c>
    </row>
    <row r="269" spans="1:16" x14ac:dyDescent="0.3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  <c r="G269" t="str">
        <f>VLOOKUP(InputData4[[#This Row],[PRODUCT ID]],MasterData[],2,0)</f>
        <v>Product12</v>
      </c>
      <c r="H269" t="str">
        <f>VLOOKUP(InputData4[[#This Row],[PRODUCT ID]],MasterData[],3,0)</f>
        <v>Category02</v>
      </c>
      <c r="I269" t="str">
        <f>VLOOKUP(InputData4[[#This Row],[PRODUCT ID]],MasterData[],4,0)</f>
        <v>Kg</v>
      </c>
      <c r="J269" s="9">
        <f>VLOOKUP(InputData4[[#This Row],[PRODUCT ID]],MasterData[],5,0)</f>
        <v>73</v>
      </c>
      <c r="K269" s="9">
        <f>VLOOKUP(InputData4[[#This Row],[PRODUCT ID]],MasterData[],6,0)</f>
        <v>94.17</v>
      </c>
      <c r="L269" s="9">
        <f>InputData4[[#This Row],[QUANTITY]]*InputData4[[#This Row],[BUYING PRIZE]]</f>
        <v>584</v>
      </c>
      <c r="M269" s="9">
        <f>InputData4[[#This Row],[QUANTITY]]*InputData4[[#This Row],[SELLING PRICE]]*(1-InputData4[[#This Row],[DISCOUNT %]])</f>
        <v>753.36</v>
      </c>
      <c r="N269" s="7">
        <f>DAY(InputData4[[#This Row],[DATE]])</f>
        <v>4</v>
      </c>
      <c r="O269" s="7">
        <f>MONTH(InputData4[[#This Row],[DATE]])</f>
        <v>1</v>
      </c>
      <c r="P269" s="7">
        <f>YEAR(InputData4[[#This Row],[DATE]])</f>
        <v>2022</v>
      </c>
    </row>
    <row r="270" spans="1:16" x14ac:dyDescent="0.3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  <c r="G270" t="str">
        <f>VLOOKUP(InputData4[[#This Row],[PRODUCT ID]],MasterData[],2,0)</f>
        <v>Product29</v>
      </c>
      <c r="H270" t="str">
        <f>VLOOKUP(InputData4[[#This Row],[PRODUCT ID]],MasterData[],3,0)</f>
        <v>Category04</v>
      </c>
      <c r="I270" t="str">
        <f>VLOOKUP(InputData4[[#This Row],[PRODUCT ID]],MasterData[],4,0)</f>
        <v>Lt</v>
      </c>
      <c r="J270" s="9">
        <f>VLOOKUP(InputData4[[#This Row],[PRODUCT ID]],MasterData[],5,0)</f>
        <v>47</v>
      </c>
      <c r="K270" s="9">
        <f>VLOOKUP(InputData4[[#This Row],[PRODUCT ID]],MasterData[],6,0)</f>
        <v>53.11</v>
      </c>
      <c r="L270" s="9">
        <f>InputData4[[#This Row],[QUANTITY]]*InputData4[[#This Row],[BUYING PRIZE]]</f>
        <v>47</v>
      </c>
      <c r="M270" s="9">
        <f>InputData4[[#This Row],[QUANTITY]]*InputData4[[#This Row],[SELLING PRICE]]*(1-InputData4[[#This Row],[DISCOUNT %]])</f>
        <v>53.11</v>
      </c>
      <c r="N270" s="7">
        <f>DAY(InputData4[[#This Row],[DATE]])</f>
        <v>4</v>
      </c>
      <c r="O270" s="7">
        <f>MONTH(InputData4[[#This Row],[DATE]])</f>
        <v>1</v>
      </c>
      <c r="P270" s="7">
        <f>YEAR(InputData4[[#This Row],[DATE]])</f>
        <v>2022</v>
      </c>
    </row>
    <row r="271" spans="1:16" x14ac:dyDescent="0.3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  <c r="G271" t="str">
        <f>VLOOKUP(InputData4[[#This Row],[PRODUCT ID]],MasterData[],2,0)</f>
        <v>Product32</v>
      </c>
      <c r="H271" t="str">
        <f>VLOOKUP(InputData4[[#This Row],[PRODUCT ID]],MasterData[],3,0)</f>
        <v>Category04</v>
      </c>
      <c r="I271" t="str">
        <f>VLOOKUP(InputData4[[#This Row],[PRODUCT ID]],MasterData[],4,0)</f>
        <v>Kg</v>
      </c>
      <c r="J271" s="9">
        <f>VLOOKUP(InputData4[[#This Row],[PRODUCT ID]],MasterData[],5,0)</f>
        <v>89</v>
      </c>
      <c r="K271" s="9">
        <f>VLOOKUP(InputData4[[#This Row],[PRODUCT ID]],MasterData[],6,0)</f>
        <v>117.48</v>
      </c>
      <c r="L271" s="9">
        <f>InputData4[[#This Row],[QUANTITY]]*InputData4[[#This Row],[BUYING PRIZE]]</f>
        <v>1068</v>
      </c>
      <c r="M271" s="9">
        <f>InputData4[[#This Row],[QUANTITY]]*InputData4[[#This Row],[SELLING PRICE]]*(1-InputData4[[#This Row],[DISCOUNT %]])</f>
        <v>1409.76</v>
      </c>
      <c r="N271" s="7">
        <f>DAY(InputData4[[#This Row],[DATE]])</f>
        <v>9</v>
      </c>
      <c r="O271" s="7">
        <f>MONTH(InputData4[[#This Row],[DATE]])</f>
        <v>1</v>
      </c>
      <c r="P271" s="7">
        <f>YEAR(InputData4[[#This Row],[DATE]])</f>
        <v>2022</v>
      </c>
    </row>
    <row r="272" spans="1:16" x14ac:dyDescent="0.3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  <c r="G272" t="str">
        <f>VLOOKUP(InputData4[[#This Row],[PRODUCT ID]],MasterData[],2,0)</f>
        <v>Product34</v>
      </c>
      <c r="H272" t="str">
        <f>VLOOKUP(InputData4[[#This Row],[PRODUCT ID]],MasterData[],3,0)</f>
        <v>Category04</v>
      </c>
      <c r="I272" t="str">
        <f>VLOOKUP(InputData4[[#This Row],[PRODUCT ID]],MasterData[],4,0)</f>
        <v>Lt</v>
      </c>
      <c r="J272" s="9">
        <f>VLOOKUP(InputData4[[#This Row],[PRODUCT ID]],MasterData[],5,0)</f>
        <v>55</v>
      </c>
      <c r="K272" s="9">
        <f>VLOOKUP(InputData4[[#This Row],[PRODUCT ID]],MasterData[],6,0)</f>
        <v>58.3</v>
      </c>
      <c r="L272" s="9">
        <f>InputData4[[#This Row],[QUANTITY]]*InputData4[[#This Row],[BUYING PRIZE]]</f>
        <v>770</v>
      </c>
      <c r="M272" s="9">
        <f>InputData4[[#This Row],[QUANTITY]]*InputData4[[#This Row],[SELLING PRICE]]*(1-InputData4[[#This Row],[DISCOUNT %]])</f>
        <v>816.19999999999993</v>
      </c>
      <c r="N272" s="7">
        <f>DAY(InputData4[[#This Row],[DATE]])</f>
        <v>10</v>
      </c>
      <c r="O272" s="7">
        <f>MONTH(InputData4[[#This Row],[DATE]])</f>
        <v>1</v>
      </c>
      <c r="P272" s="7">
        <f>YEAR(InputData4[[#This Row],[DATE]])</f>
        <v>2022</v>
      </c>
    </row>
    <row r="273" spans="1:16" x14ac:dyDescent="0.3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  <c r="G273" t="str">
        <f>VLOOKUP(InputData4[[#This Row],[PRODUCT ID]],MasterData[],2,0)</f>
        <v>Product32</v>
      </c>
      <c r="H273" t="str">
        <f>VLOOKUP(InputData4[[#This Row],[PRODUCT ID]],MasterData[],3,0)</f>
        <v>Category04</v>
      </c>
      <c r="I273" t="str">
        <f>VLOOKUP(InputData4[[#This Row],[PRODUCT ID]],MasterData[],4,0)</f>
        <v>Kg</v>
      </c>
      <c r="J273" s="9">
        <f>VLOOKUP(InputData4[[#This Row],[PRODUCT ID]],MasterData[],5,0)</f>
        <v>89</v>
      </c>
      <c r="K273" s="9">
        <f>VLOOKUP(InputData4[[#This Row],[PRODUCT ID]],MasterData[],6,0)</f>
        <v>117.48</v>
      </c>
      <c r="L273" s="9">
        <f>InputData4[[#This Row],[QUANTITY]]*InputData4[[#This Row],[BUYING PRIZE]]</f>
        <v>178</v>
      </c>
      <c r="M273" s="9">
        <f>InputData4[[#This Row],[QUANTITY]]*InputData4[[#This Row],[SELLING PRICE]]*(1-InputData4[[#This Row],[DISCOUNT %]])</f>
        <v>234.96</v>
      </c>
      <c r="N273" s="7">
        <f>DAY(InputData4[[#This Row],[DATE]])</f>
        <v>11</v>
      </c>
      <c r="O273" s="7">
        <f>MONTH(InputData4[[#This Row],[DATE]])</f>
        <v>1</v>
      </c>
      <c r="P273" s="7">
        <f>YEAR(InputData4[[#This Row],[DATE]])</f>
        <v>2022</v>
      </c>
    </row>
    <row r="274" spans="1:16" x14ac:dyDescent="0.3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  <c r="G274" t="str">
        <f>VLOOKUP(InputData4[[#This Row],[PRODUCT ID]],MasterData[],2,0)</f>
        <v>Product19</v>
      </c>
      <c r="H274" t="str">
        <f>VLOOKUP(InputData4[[#This Row],[PRODUCT ID]],MasterData[],3,0)</f>
        <v>Category02</v>
      </c>
      <c r="I274" t="str">
        <f>VLOOKUP(InputData4[[#This Row],[PRODUCT ID]],MasterData[],4,0)</f>
        <v>Ft</v>
      </c>
      <c r="J274" s="9">
        <f>VLOOKUP(InputData4[[#This Row],[PRODUCT ID]],MasterData[],5,0)</f>
        <v>150</v>
      </c>
      <c r="K274" s="9">
        <f>VLOOKUP(InputData4[[#This Row],[PRODUCT ID]],MasterData[],6,0)</f>
        <v>210</v>
      </c>
      <c r="L274" s="9">
        <f>InputData4[[#This Row],[QUANTITY]]*InputData4[[#This Row],[BUYING PRIZE]]</f>
        <v>900</v>
      </c>
      <c r="M274" s="9">
        <f>InputData4[[#This Row],[QUANTITY]]*InputData4[[#This Row],[SELLING PRICE]]*(1-InputData4[[#This Row],[DISCOUNT %]])</f>
        <v>1260</v>
      </c>
      <c r="N274" s="7">
        <f>DAY(InputData4[[#This Row],[DATE]])</f>
        <v>13</v>
      </c>
      <c r="O274" s="7">
        <f>MONTH(InputData4[[#This Row],[DATE]])</f>
        <v>1</v>
      </c>
      <c r="P274" s="7">
        <f>YEAR(InputData4[[#This Row],[DATE]])</f>
        <v>2022</v>
      </c>
    </row>
    <row r="275" spans="1:16" x14ac:dyDescent="0.3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  <c r="G275" t="str">
        <f>VLOOKUP(InputData4[[#This Row],[PRODUCT ID]],MasterData[],2,0)</f>
        <v>Product11</v>
      </c>
      <c r="H275" t="str">
        <f>VLOOKUP(InputData4[[#This Row],[PRODUCT ID]],MasterData[],3,0)</f>
        <v>Category02</v>
      </c>
      <c r="I275" t="str">
        <f>VLOOKUP(InputData4[[#This Row],[PRODUCT ID]],MasterData[],4,0)</f>
        <v>Lt</v>
      </c>
      <c r="J275" s="9">
        <f>VLOOKUP(InputData4[[#This Row],[PRODUCT ID]],MasterData[],5,0)</f>
        <v>44</v>
      </c>
      <c r="K275" s="9">
        <f>VLOOKUP(InputData4[[#This Row],[PRODUCT ID]],MasterData[],6,0)</f>
        <v>48.4</v>
      </c>
      <c r="L275" s="9">
        <f>InputData4[[#This Row],[QUANTITY]]*InputData4[[#This Row],[BUYING PRIZE]]</f>
        <v>616</v>
      </c>
      <c r="M275" s="9">
        <f>InputData4[[#This Row],[QUANTITY]]*InputData4[[#This Row],[SELLING PRICE]]*(1-InputData4[[#This Row],[DISCOUNT %]])</f>
        <v>677.6</v>
      </c>
      <c r="N275" s="7">
        <f>DAY(InputData4[[#This Row],[DATE]])</f>
        <v>14</v>
      </c>
      <c r="O275" s="7">
        <f>MONTH(InputData4[[#This Row],[DATE]])</f>
        <v>1</v>
      </c>
      <c r="P275" s="7">
        <f>YEAR(InputData4[[#This Row],[DATE]])</f>
        <v>2022</v>
      </c>
    </row>
    <row r="276" spans="1:16" x14ac:dyDescent="0.3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  <c r="G276" t="str">
        <f>VLOOKUP(InputData4[[#This Row],[PRODUCT ID]],MasterData[],2,0)</f>
        <v>Product22</v>
      </c>
      <c r="H276" t="str">
        <f>VLOOKUP(InputData4[[#This Row],[PRODUCT ID]],MasterData[],3,0)</f>
        <v>Category03</v>
      </c>
      <c r="I276" t="str">
        <f>VLOOKUP(InputData4[[#This Row],[PRODUCT ID]],MasterData[],4,0)</f>
        <v>Ft</v>
      </c>
      <c r="J276" s="9">
        <f>VLOOKUP(InputData4[[#This Row],[PRODUCT ID]],MasterData[],5,0)</f>
        <v>121</v>
      </c>
      <c r="K276" s="9">
        <f>VLOOKUP(InputData4[[#This Row],[PRODUCT ID]],MasterData[],6,0)</f>
        <v>141.57</v>
      </c>
      <c r="L276" s="9">
        <f>InputData4[[#This Row],[QUANTITY]]*InputData4[[#This Row],[BUYING PRIZE]]</f>
        <v>1210</v>
      </c>
      <c r="M276" s="9">
        <f>InputData4[[#This Row],[QUANTITY]]*InputData4[[#This Row],[SELLING PRICE]]*(1-InputData4[[#This Row],[DISCOUNT %]])</f>
        <v>1415.6999999999998</v>
      </c>
      <c r="N276" s="7">
        <f>DAY(InputData4[[#This Row],[DATE]])</f>
        <v>15</v>
      </c>
      <c r="O276" s="7">
        <f>MONTH(InputData4[[#This Row],[DATE]])</f>
        <v>1</v>
      </c>
      <c r="P276" s="7">
        <f>YEAR(InputData4[[#This Row],[DATE]])</f>
        <v>2022</v>
      </c>
    </row>
    <row r="277" spans="1:16" x14ac:dyDescent="0.3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  <c r="G277" t="str">
        <f>VLOOKUP(InputData4[[#This Row],[PRODUCT ID]],MasterData[],2,0)</f>
        <v>Product14</v>
      </c>
      <c r="H277" t="str">
        <f>VLOOKUP(InputData4[[#This Row],[PRODUCT ID]],MasterData[],3,0)</f>
        <v>Category02</v>
      </c>
      <c r="I277" t="str">
        <f>VLOOKUP(InputData4[[#This Row],[PRODUCT ID]],MasterData[],4,0)</f>
        <v>Kg</v>
      </c>
      <c r="J277" s="9">
        <f>VLOOKUP(InputData4[[#This Row],[PRODUCT ID]],MasterData[],5,0)</f>
        <v>112</v>
      </c>
      <c r="K277" s="9">
        <f>VLOOKUP(InputData4[[#This Row],[PRODUCT ID]],MasterData[],6,0)</f>
        <v>146.72</v>
      </c>
      <c r="L277" s="9">
        <f>InputData4[[#This Row],[QUANTITY]]*InputData4[[#This Row],[BUYING PRIZE]]</f>
        <v>1232</v>
      </c>
      <c r="M277" s="9">
        <f>InputData4[[#This Row],[QUANTITY]]*InputData4[[#This Row],[SELLING PRICE]]*(1-InputData4[[#This Row],[DISCOUNT %]])</f>
        <v>1613.92</v>
      </c>
      <c r="N277" s="7">
        <f>DAY(InputData4[[#This Row],[DATE]])</f>
        <v>16</v>
      </c>
      <c r="O277" s="7">
        <f>MONTH(InputData4[[#This Row],[DATE]])</f>
        <v>1</v>
      </c>
      <c r="P277" s="7">
        <f>YEAR(InputData4[[#This Row],[DATE]])</f>
        <v>2022</v>
      </c>
    </row>
    <row r="278" spans="1:16" x14ac:dyDescent="0.3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  <c r="G278" t="str">
        <f>VLOOKUP(InputData4[[#This Row],[PRODUCT ID]],MasterData[],2,0)</f>
        <v>Product40</v>
      </c>
      <c r="H278" t="str">
        <f>VLOOKUP(InputData4[[#This Row],[PRODUCT ID]],MasterData[],3,0)</f>
        <v>Category05</v>
      </c>
      <c r="I278" t="str">
        <f>VLOOKUP(InputData4[[#This Row],[PRODUCT ID]],MasterData[],4,0)</f>
        <v>Kg</v>
      </c>
      <c r="J278" s="9">
        <f>VLOOKUP(InputData4[[#This Row],[PRODUCT ID]],MasterData[],5,0)</f>
        <v>90</v>
      </c>
      <c r="K278" s="9">
        <f>VLOOKUP(InputData4[[#This Row],[PRODUCT ID]],MasterData[],6,0)</f>
        <v>115.2</v>
      </c>
      <c r="L278" s="9">
        <f>InputData4[[#This Row],[QUANTITY]]*InputData4[[#This Row],[BUYING PRIZE]]</f>
        <v>360</v>
      </c>
      <c r="M278" s="9">
        <f>InputData4[[#This Row],[QUANTITY]]*InputData4[[#This Row],[SELLING PRICE]]*(1-InputData4[[#This Row],[DISCOUNT %]])</f>
        <v>460.8</v>
      </c>
      <c r="N278" s="7">
        <f>DAY(InputData4[[#This Row],[DATE]])</f>
        <v>17</v>
      </c>
      <c r="O278" s="7">
        <f>MONTH(InputData4[[#This Row],[DATE]])</f>
        <v>1</v>
      </c>
      <c r="P278" s="7">
        <f>YEAR(InputData4[[#This Row],[DATE]])</f>
        <v>2022</v>
      </c>
    </row>
    <row r="279" spans="1:16" x14ac:dyDescent="0.3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  <c r="G279" t="str">
        <f>VLOOKUP(InputData4[[#This Row],[PRODUCT ID]],MasterData[],2,0)</f>
        <v>Product08</v>
      </c>
      <c r="H279" t="str">
        <f>VLOOKUP(InputData4[[#This Row],[PRODUCT ID]],MasterData[],3,0)</f>
        <v>Category01</v>
      </c>
      <c r="I279" t="str">
        <f>VLOOKUP(InputData4[[#This Row],[PRODUCT ID]],MasterData[],4,0)</f>
        <v>Kg</v>
      </c>
      <c r="J279" s="9">
        <f>VLOOKUP(InputData4[[#This Row],[PRODUCT ID]],MasterData[],5,0)</f>
        <v>83</v>
      </c>
      <c r="K279" s="9">
        <f>VLOOKUP(InputData4[[#This Row],[PRODUCT ID]],MasterData[],6,0)</f>
        <v>94.62</v>
      </c>
      <c r="L279" s="9">
        <f>InputData4[[#This Row],[QUANTITY]]*InputData4[[#This Row],[BUYING PRIZE]]</f>
        <v>747</v>
      </c>
      <c r="M279" s="9">
        <f>InputData4[[#This Row],[QUANTITY]]*InputData4[[#This Row],[SELLING PRICE]]*(1-InputData4[[#This Row],[DISCOUNT %]])</f>
        <v>851.58</v>
      </c>
      <c r="N279" s="7">
        <f>DAY(InputData4[[#This Row],[DATE]])</f>
        <v>18</v>
      </c>
      <c r="O279" s="7">
        <f>MONTH(InputData4[[#This Row],[DATE]])</f>
        <v>1</v>
      </c>
      <c r="P279" s="7">
        <f>YEAR(InputData4[[#This Row],[DATE]])</f>
        <v>2022</v>
      </c>
    </row>
    <row r="280" spans="1:16" x14ac:dyDescent="0.3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  <c r="G280" t="str">
        <f>VLOOKUP(InputData4[[#This Row],[PRODUCT ID]],MasterData[],2,0)</f>
        <v>Product21</v>
      </c>
      <c r="H280" t="str">
        <f>VLOOKUP(InputData4[[#This Row],[PRODUCT ID]],MasterData[],3,0)</f>
        <v>Category03</v>
      </c>
      <c r="I280" t="str">
        <f>VLOOKUP(InputData4[[#This Row],[PRODUCT ID]],MasterData[],4,0)</f>
        <v>Ft</v>
      </c>
      <c r="J280" s="9">
        <f>VLOOKUP(InputData4[[#This Row],[PRODUCT ID]],MasterData[],5,0)</f>
        <v>126</v>
      </c>
      <c r="K280" s="9">
        <f>VLOOKUP(InputData4[[#This Row],[PRODUCT ID]],MasterData[],6,0)</f>
        <v>162.54</v>
      </c>
      <c r="L280" s="9">
        <f>InputData4[[#This Row],[QUANTITY]]*InputData4[[#This Row],[BUYING PRIZE]]</f>
        <v>252</v>
      </c>
      <c r="M280" s="9">
        <f>InputData4[[#This Row],[QUANTITY]]*InputData4[[#This Row],[SELLING PRICE]]*(1-InputData4[[#This Row],[DISCOUNT %]])</f>
        <v>325.08</v>
      </c>
      <c r="N280" s="7">
        <f>DAY(InputData4[[#This Row],[DATE]])</f>
        <v>20</v>
      </c>
      <c r="O280" s="7">
        <f>MONTH(InputData4[[#This Row],[DATE]])</f>
        <v>1</v>
      </c>
      <c r="P280" s="7">
        <f>YEAR(InputData4[[#This Row],[DATE]])</f>
        <v>2022</v>
      </c>
    </row>
    <row r="281" spans="1:16" x14ac:dyDescent="0.3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  <c r="G281" t="str">
        <f>VLOOKUP(InputData4[[#This Row],[PRODUCT ID]],MasterData[],2,0)</f>
        <v>Product14</v>
      </c>
      <c r="H281" t="str">
        <f>VLOOKUP(InputData4[[#This Row],[PRODUCT ID]],MasterData[],3,0)</f>
        <v>Category02</v>
      </c>
      <c r="I281" t="str">
        <f>VLOOKUP(InputData4[[#This Row],[PRODUCT ID]],MasterData[],4,0)</f>
        <v>Kg</v>
      </c>
      <c r="J281" s="9">
        <f>VLOOKUP(InputData4[[#This Row],[PRODUCT ID]],MasterData[],5,0)</f>
        <v>112</v>
      </c>
      <c r="K281" s="9">
        <f>VLOOKUP(InputData4[[#This Row],[PRODUCT ID]],MasterData[],6,0)</f>
        <v>146.72</v>
      </c>
      <c r="L281" s="9">
        <f>InputData4[[#This Row],[QUANTITY]]*InputData4[[#This Row],[BUYING PRIZE]]</f>
        <v>784</v>
      </c>
      <c r="M281" s="9">
        <f>InputData4[[#This Row],[QUANTITY]]*InputData4[[#This Row],[SELLING PRICE]]*(1-InputData4[[#This Row],[DISCOUNT %]])</f>
        <v>1027.04</v>
      </c>
      <c r="N281" s="7">
        <f>DAY(InputData4[[#This Row],[DATE]])</f>
        <v>20</v>
      </c>
      <c r="O281" s="7">
        <f>MONTH(InputData4[[#This Row],[DATE]])</f>
        <v>1</v>
      </c>
      <c r="P281" s="7">
        <f>YEAR(InputData4[[#This Row],[DATE]])</f>
        <v>2022</v>
      </c>
    </row>
    <row r="282" spans="1:16" x14ac:dyDescent="0.3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  <c r="G282" t="str">
        <f>VLOOKUP(InputData4[[#This Row],[PRODUCT ID]],MasterData[],2,0)</f>
        <v>Product01</v>
      </c>
      <c r="H282" t="str">
        <f>VLOOKUP(InputData4[[#This Row],[PRODUCT ID]],MasterData[],3,0)</f>
        <v>Category01</v>
      </c>
      <c r="I282" t="str">
        <f>VLOOKUP(InputData4[[#This Row],[PRODUCT ID]],MasterData[],4,0)</f>
        <v>Kg</v>
      </c>
      <c r="J282" s="9">
        <f>VLOOKUP(InputData4[[#This Row],[PRODUCT ID]],MasterData[],5,0)</f>
        <v>98</v>
      </c>
      <c r="K282" s="9">
        <f>VLOOKUP(InputData4[[#This Row],[PRODUCT ID]],MasterData[],6,0)</f>
        <v>103.88</v>
      </c>
      <c r="L282" s="9">
        <f>InputData4[[#This Row],[QUANTITY]]*InputData4[[#This Row],[BUYING PRIZE]]</f>
        <v>588</v>
      </c>
      <c r="M282" s="9">
        <f>InputData4[[#This Row],[QUANTITY]]*InputData4[[#This Row],[SELLING PRICE]]*(1-InputData4[[#This Row],[DISCOUNT %]])</f>
        <v>623.28</v>
      </c>
      <c r="N282" s="7">
        <f>DAY(InputData4[[#This Row],[DATE]])</f>
        <v>22</v>
      </c>
      <c r="O282" s="7">
        <f>MONTH(InputData4[[#This Row],[DATE]])</f>
        <v>1</v>
      </c>
      <c r="P282" s="7">
        <f>YEAR(InputData4[[#This Row],[DATE]])</f>
        <v>2022</v>
      </c>
    </row>
    <row r="283" spans="1:16" x14ac:dyDescent="0.3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  <c r="G283" t="str">
        <f>VLOOKUP(InputData4[[#This Row],[PRODUCT ID]],MasterData[],2,0)</f>
        <v>Product02</v>
      </c>
      <c r="H283" t="str">
        <f>VLOOKUP(InputData4[[#This Row],[PRODUCT ID]],MasterData[],3,0)</f>
        <v>Category01</v>
      </c>
      <c r="I283" t="str">
        <f>VLOOKUP(InputData4[[#This Row],[PRODUCT ID]],MasterData[],4,0)</f>
        <v>Kg</v>
      </c>
      <c r="J283" s="9">
        <f>VLOOKUP(InputData4[[#This Row],[PRODUCT ID]],MasterData[],5,0)</f>
        <v>105</v>
      </c>
      <c r="K283" s="9">
        <f>VLOOKUP(InputData4[[#This Row],[PRODUCT ID]],MasterData[],6,0)</f>
        <v>142.80000000000001</v>
      </c>
      <c r="L283" s="9">
        <f>InputData4[[#This Row],[QUANTITY]]*InputData4[[#This Row],[BUYING PRIZE]]</f>
        <v>525</v>
      </c>
      <c r="M283" s="9">
        <f>InputData4[[#This Row],[QUANTITY]]*InputData4[[#This Row],[SELLING PRICE]]*(1-InputData4[[#This Row],[DISCOUNT %]])</f>
        <v>714</v>
      </c>
      <c r="N283" s="7">
        <f>DAY(InputData4[[#This Row],[DATE]])</f>
        <v>23</v>
      </c>
      <c r="O283" s="7">
        <f>MONTH(InputData4[[#This Row],[DATE]])</f>
        <v>1</v>
      </c>
      <c r="P283" s="7">
        <f>YEAR(InputData4[[#This Row],[DATE]])</f>
        <v>2022</v>
      </c>
    </row>
    <row r="284" spans="1:16" x14ac:dyDescent="0.3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  <c r="G284" t="str">
        <f>VLOOKUP(InputData4[[#This Row],[PRODUCT ID]],MasterData[],2,0)</f>
        <v>Product42</v>
      </c>
      <c r="H284" t="str">
        <f>VLOOKUP(InputData4[[#This Row],[PRODUCT ID]],MasterData[],3,0)</f>
        <v>Category05</v>
      </c>
      <c r="I284" t="str">
        <f>VLOOKUP(InputData4[[#This Row],[PRODUCT ID]],MasterData[],4,0)</f>
        <v>Ft</v>
      </c>
      <c r="J284" s="9">
        <f>VLOOKUP(InputData4[[#This Row],[PRODUCT ID]],MasterData[],5,0)</f>
        <v>120</v>
      </c>
      <c r="K284" s="9">
        <f>VLOOKUP(InputData4[[#This Row],[PRODUCT ID]],MasterData[],6,0)</f>
        <v>162</v>
      </c>
      <c r="L284" s="9">
        <f>InputData4[[#This Row],[QUANTITY]]*InputData4[[#This Row],[BUYING PRIZE]]</f>
        <v>960</v>
      </c>
      <c r="M284" s="9">
        <f>InputData4[[#This Row],[QUANTITY]]*InputData4[[#This Row],[SELLING PRICE]]*(1-InputData4[[#This Row],[DISCOUNT %]])</f>
        <v>1296</v>
      </c>
      <c r="N284" s="7">
        <f>DAY(InputData4[[#This Row],[DATE]])</f>
        <v>23</v>
      </c>
      <c r="O284" s="7">
        <f>MONTH(InputData4[[#This Row],[DATE]])</f>
        <v>1</v>
      </c>
      <c r="P284" s="7">
        <f>YEAR(InputData4[[#This Row],[DATE]])</f>
        <v>2022</v>
      </c>
    </row>
    <row r="285" spans="1:16" x14ac:dyDescent="0.3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  <c r="G285" t="str">
        <f>VLOOKUP(InputData4[[#This Row],[PRODUCT ID]],MasterData[],2,0)</f>
        <v>Product30</v>
      </c>
      <c r="H285" t="str">
        <f>VLOOKUP(InputData4[[#This Row],[PRODUCT ID]],MasterData[],3,0)</f>
        <v>Category04</v>
      </c>
      <c r="I285" t="str">
        <f>VLOOKUP(InputData4[[#This Row],[PRODUCT ID]],MasterData[],4,0)</f>
        <v>Ft</v>
      </c>
      <c r="J285" s="9">
        <f>VLOOKUP(InputData4[[#This Row],[PRODUCT ID]],MasterData[],5,0)</f>
        <v>148</v>
      </c>
      <c r="K285" s="9">
        <f>VLOOKUP(InputData4[[#This Row],[PRODUCT ID]],MasterData[],6,0)</f>
        <v>201.28</v>
      </c>
      <c r="L285" s="9">
        <f>InputData4[[#This Row],[QUANTITY]]*InputData4[[#This Row],[BUYING PRIZE]]</f>
        <v>2220</v>
      </c>
      <c r="M285" s="9">
        <f>InputData4[[#This Row],[QUANTITY]]*InputData4[[#This Row],[SELLING PRICE]]*(1-InputData4[[#This Row],[DISCOUNT %]])</f>
        <v>3019.2</v>
      </c>
      <c r="N285" s="7">
        <f>DAY(InputData4[[#This Row],[DATE]])</f>
        <v>24</v>
      </c>
      <c r="O285" s="7">
        <f>MONTH(InputData4[[#This Row],[DATE]])</f>
        <v>1</v>
      </c>
      <c r="P285" s="7">
        <f>YEAR(InputData4[[#This Row],[DATE]])</f>
        <v>2022</v>
      </c>
    </row>
    <row r="286" spans="1:16" x14ac:dyDescent="0.3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  <c r="G286" t="str">
        <f>VLOOKUP(InputData4[[#This Row],[PRODUCT ID]],MasterData[],2,0)</f>
        <v>Product17</v>
      </c>
      <c r="H286" t="str">
        <f>VLOOKUP(InputData4[[#This Row],[PRODUCT ID]],MasterData[],3,0)</f>
        <v>Category02</v>
      </c>
      <c r="I286" t="str">
        <f>VLOOKUP(InputData4[[#This Row],[PRODUCT ID]],MasterData[],4,0)</f>
        <v>Ft</v>
      </c>
      <c r="J286" s="9">
        <f>VLOOKUP(InputData4[[#This Row],[PRODUCT ID]],MasterData[],5,0)</f>
        <v>134</v>
      </c>
      <c r="K286" s="9">
        <f>VLOOKUP(InputData4[[#This Row],[PRODUCT ID]],MasterData[],6,0)</f>
        <v>156.78</v>
      </c>
      <c r="L286" s="9">
        <f>InputData4[[#This Row],[QUANTITY]]*InputData4[[#This Row],[BUYING PRIZE]]</f>
        <v>1876</v>
      </c>
      <c r="M286" s="9">
        <f>InputData4[[#This Row],[QUANTITY]]*InputData4[[#This Row],[SELLING PRICE]]*(1-InputData4[[#This Row],[DISCOUNT %]])</f>
        <v>2194.92</v>
      </c>
      <c r="N286" s="7">
        <f>DAY(InputData4[[#This Row],[DATE]])</f>
        <v>25</v>
      </c>
      <c r="O286" s="7">
        <f>MONTH(InputData4[[#This Row],[DATE]])</f>
        <v>1</v>
      </c>
      <c r="P286" s="7">
        <f>YEAR(InputData4[[#This Row],[DATE]])</f>
        <v>2022</v>
      </c>
    </row>
    <row r="287" spans="1:16" x14ac:dyDescent="0.3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  <c r="G287" t="str">
        <f>VLOOKUP(InputData4[[#This Row],[PRODUCT ID]],MasterData[],2,0)</f>
        <v>Product16</v>
      </c>
      <c r="H287" t="str">
        <f>VLOOKUP(InputData4[[#This Row],[PRODUCT ID]],MasterData[],3,0)</f>
        <v>Category02</v>
      </c>
      <c r="I287" t="str">
        <f>VLOOKUP(InputData4[[#This Row],[PRODUCT ID]],MasterData[],4,0)</f>
        <v>No.</v>
      </c>
      <c r="J287" s="9">
        <f>VLOOKUP(InputData4[[#This Row],[PRODUCT ID]],MasterData[],5,0)</f>
        <v>13</v>
      </c>
      <c r="K287" s="9">
        <f>VLOOKUP(InputData4[[#This Row],[PRODUCT ID]],MasterData[],6,0)</f>
        <v>16.64</v>
      </c>
      <c r="L287" s="9">
        <f>InputData4[[#This Row],[QUANTITY]]*InputData4[[#This Row],[BUYING PRIZE]]</f>
        <v>143</v>
      </c>
      <c r="M287" s="9">
        <f>InputData4[[#This Row],[QUANTITY]]*InputData4[[#This Row],[SELLING PRICE]]*(1-InputData4[[#This Row],[DISCOUNT %]])</f>
        <v>183.04000000000002</v>
      </c>
      <c r="N287" s="7">
        <f>DAY(InputData4[[#This Row],[DATE]])</f>
        <v>28</v>
      </c>
      <c r="O287" s="7">
        <f>MONTH(InputData4[[#This Row],[DATE]])</f>
        <v>1</v>
      </c>
      <c r="P287" s="7">
        <f>YEAR(InputData4[[#This Row],[DATE]])</f>
        <v>2022</v>
      </c>
    </row>
    <row r="288" spans="1:16" x14ac:dyDescent="0.3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  <c r="G288" t="str">
        <f>VLOOKUP(InputData4[[#This Row],[PRODUCT ID]],MasterData[],2,0)</f>
        <v>Product23</v>
      </c>
      <c r="H288" t="str">
        <f>VLOOKUP(InputData4[[#This Row],[PRODUCT ID]],MasterData[],3,0)</f>
        <v>Category03</v>
      </c>
      <c r="I288" t="str">
        <f>VLOOKUP(InputData4[[#This Row],[PRODUCT ID]],MasterData[],4,0)</f>
        <v>Ft</v>
      </c>
      <c r="J288" s="9">
        <f>VLOOKUP(InputData4[[#This Row],[PRODUCT ID]],MasterData[],5,0)</f>
        <v>141</v>
      </c>
      <c r="K288" s="9">
        <f>VLOOKUP(InputData4[[#This Row],[PRODUCT ID]],MasterData[],6,0)</f>
        <v>149.46</v>
      </c>
      <c r="L288" s="9">
        <f>InputData4[[#This Row],[QUANTITY]]*InputData4[[#This Row],[BUYING PRIZE]]</f>
        <v>846</v>
      </c>
      <c r="M288" s="9">
        <f>InputData4[[#This Row],[QUANTITY]]*InputData4[[#This Row],[SELLING PRICE]]*(1-InputData4[[#This Row],[DISCOUNT %]])</f>
        <v>896.76</v>
      </c>
      <c r="N288" s="7">
        <f>DAY(InputData4[[#This Row],[DATE]])</f>
        <v>31</v>
      </c>
      <c r="O288" s="7">
        <f>MONTH(InputData4[[#This Row],[DATE]])</f>
        <v>1</v>
      </c>
      <c r="P288" s="7">
        <f>YEAR(InputData4[[#This Row],[DATE]])</f>
        <v>2022</v>
      </c>
    </row>
    <row r="289" spans="1:16" x14ac:dyDescent="0.3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  <c r="G289" t="str">
        <f>VLOOKUP(InputData4[[#This Row],[PRODUCT ID]],MasterData[],2,0)</f>
        <v>Product41</v>
      </c>
      <c r="H289" t="str">
        <f>VLOOKUP(InputData4[[#This Row],[PRODUCT ID]],MasterData[],3,0)</f>
        <v>Category05</v>
      </c>
      <c r="I289" t="str">
        <f>VLOOKUP(InputData4[[#This Row],[PRODUCT ID]],MasterData[],4,0)</f>
        <v>Ft</v>
      </c>
      <c r="J289" s="9">
        <f>VLOOKUP(InputData4[[#This Row],[PRODUCT ID]],MasterData[],5,0)</f>
        <v>138</v>
      </c>
      <c r="K289" s="9">
        <f>VLOOKUP(InputData4[[#This Row],[PRODUCT ID]],MasterData[],6,0)</f>
        <v>173.88</v>
      </c>
      <c r="L289" s="9">
        <f>InputData4[[#This Row],[QUANTITY]]*InputData4[[#This Row],[BUYING PRIZE]]</f>
        <v>1242</v>
      </c>
      <c r="M289" s="9">
        <f>InputData4[[#This Row],[QUANTITY]]*InputData4[[#This Row],[SELLING PRICE]]*(1-InputData4[[#This Row],[DISCOUNT %]])</f>
        <v>1564.92</v>
      </c>
      <c r="N289" s="7">
        <f>DAY(InputData4[[#This Row],[DATE]])</f>
        <v>31</v>
      </c>
      <c r="O289" s="7">
        <f>MONTH(InputData4[[#This Row],[DATE]])</f>
        <v>1</v>
      </c>
      <c r="P289" s="7">
        <f>YEAR(InputData4[[#This Row],[DATE]])</f>
        <v>2022</v>
      </c>
    </row>
    <row r="290" spans="1:16" x14ac:dyDescent="0.3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  <c r="G290" t="str">
        <f>VLOOKUP(InputData4[[#This Row],[PRODUCT ID]],MasterData[],2,0)</f>
        <v>Product05</v>
      </c>
      <c r="H290" t="str">
        <f>VLOOKUP(InputData4[[#This Row],[PRODUCT ID]],MasterData[],3,0)</f>
        <v>Category01</v>
      </c>
      <c r="I290" t="str">
        <f>VLOOKUP(InputData4[[#This Row],[PRODUCT ID]],MasterData[],4,0)</f>
        <v>Ft</v>
      </c>
      <c r="J290" s="9">
        <f>VLOOKUP(InputData4[[#This Row],[PRODUCT ID]],MasterData[],5,0)</f>
        <v>133</v>
      </c>
      <c r="K290" s="9">
        <f>VLOOKUP(InputData4[[#This Row],[PRODUCT ID]],MasterData[],6,0)</f>
        <v>155.61000000000001</v>
      </c>
      <c r="L290" s="9">
        <f>InputData4[[#This Row],[QUANTITY]]*InputData4[[#This Row],[BUYING PRIZE]]</f>
        <v>1197</v>
      </c>
      <c r="M290" s="9">
        <f>InputData4[[#This Row],[QUANTITY]]*InputData4[[#This Row],[SELLING PRICE]]*(1-InputData4[[#This Row],[DISCOUNT %]])</f>
        <v>1400.4900000000002</v>
      </c>
      <c r="N290" s="7">
        <f>DAY(InputData4[[#This Row],[DATE]])</f>
        <v>1</v>
      </c>
      <c r="O290" s="7">
        <f>MONTH(InputData4[[#This Row],[DATE]])</f>
        <v>2</v>
      </c>
      <c r="P290" s="7">
        <f>YEAR(InputData4[[#This Row],[DATE]])</f>
        <v>2022</v>
      </c>
    </row>
    <row r="291" spans="1:16" x14ac:dyDescent="0.3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  <c r="G291" t="str">
        <f>VLOOKUP(InputData4[[#This Row],[PRODUCT ID]],MasterData[],2,0)</f>
        <v>Product14</v>
      </c>
      <c r="H291" t="str">
        <f>VLOOKUP(InputData4[[#This Row],[PRODUCT ID]],MasterData[],3,0)</f>
        <v>Category02</v>
      </c>
      <c r="I291" t="str">
        <f>VLOOKUP(InputData4[[#This Row],[PRODUCT ID]],MasterData[],4,0)</f>
        <v>Kg</v>
      </c>
      <c r="J291" s="9">
        <f>VLOOKUP(InputData4[[#This Row],[PRODUCT ID]],MasterData[],5,0)</f>
        <v>112</v>
      </c>
      <c r="K291" s="9">
        <f>VLOOKUP(InputData4[[#This Row],[PRODUCT ID]],MasterData[],6,0)</f>
        <v>146.72</v>
      </c>
      <c r="L291" s="9">
        <f>InputData4[[#This Row],[QUANTITY]]*InputData4[[#This Row],[BUYING PRIZE]]</f>
        <v>896</v>
      </c>
      <c r="M291" s="9">
        <f>InputData4[[#This Row],[QUANTITY]]*InputData4[[#This Row],[SELLING PRICE]]*(1-InputData4[[#This Row],[DISCOUNT %]])</f>
        <v>1173.76</v>
      </c>
      <c r="N291" s="7">
        <f>DAY(InputData4[[#This Row],[DATE]])</f>
        <v>3</v>
      </c>
      <c r="O291" s="7">
        <f>MONTH(InputData4[[#This Row],[DATE]])</f>
        <v>2</v>
      </c>
      <c r="P291" s="7">
        <f>YEAR(InputData4[[#This Row],[DATE]])</f>
        <v>2022</v>
      </c>
    </row>
    <row r="292" spans="1:16" x14ac:dyDescent="0.3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  <c r="G292" t="str">
        <f>VLOOKUP(InputData4[[#This Row],[PRODUCT ID]],MasterData[],2,0)</f>
        <v>Product18</v>
      </c>
      <c r="H292" t="str">
        <f>VLOOKUP(InputData4[[#This Row],[PRODUCT ID]],MasterData[],3,0)</f>
        <v>Category02</v>
      </c>
      <c r="I292" t="str">
        <f>VLOOKUP(InputData4[[#This Row],[PRODUCT ID]],MasterData[],4,0)</f>
        <v>No.</v>
      </c>
      <c r="J292" s="9">
        <f>VLOOKUP(InputData4[[#This Row],[PRODUCT ID]],MasterData[],5,0)</f>
        <v>37</v>
      </c>
      <c r="K292" s="9">
        <f>VLOOKUP(InputData4[[#This Row],[PRODUCT ID]],MasterData[],6,0)</f>
        <v>49.21</v>
      </c>
      <c r="L292" s="9">
        <f>InputData4[[#This Row],[QUANTITY]]*InputData4[[#This Row],[BUYING PRIZE]]</f>
        <v>222</v>
      </c>
      <c r="M292" s="9">
        <f>InputData4[[#This Row],[QUANTITY]]*InputData4[[#This Row],[SELLING PRICE]]*(1-InputData4[[#This Row],[DISCOUNT %]])</f>
        <v>295.26</v>
      </c>
      <c r="N292" s="7">
        <f>DAY(InputData4[[#This Row],[DATE]])</f>
        <v>5</v>
      </c>
      <c r="O292" s="7">
        <f>MONTH(InputData4[[#This Row],[DATE]])</f>
        <v>2</v>
      </c>
      <c r="P292" s="7">
        <f>YEAR(InputData4[[#This Row],[DATE]])</f>
        <v>2022</v>
      </c>
    </row>
    <row r="293" spans="1:16" x14ac:dyDescent="0.3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  <c r="G293" t="str">
        <f>VLOOKUP(InputData4[[#This Row],[PRODUCT ID]],MasterData[],2,0)</f>
        <v>Product02</v>
      </c>
      <c r="H293" t="str">
        <f>VLOOKUP(InputData4[[#This Row],[PRODUCT ID]],MasterData[],3,0)</f>
        <v>Category01</v>
      </c>
      <c r="I293" t="str">
        <f>VLOOKUP(InputData4[[#This Row],[PRODUCT ID]],MasterData[],4,0)</f>
        <v>Kg</v>
      </c>
      <c r="J293" s="9">
        <f>VLOOKUP(InputData4[[#This Row],[PRODUCT ID]],MasterData[],5,0)</f>
        <v>105</v>
      </c>
      <c r="K293" s="9">
        <f>VLOOKUP(InputData4[[#This Row],[PRODUCT ID]],MasterData[],6,0)</f>
        <v>142.80000000000001</v>
      </c>
      <c r="L293" s="9">
        <f>InputData4[[#This Row],[QUANTITY]]*InputData4[[#This Row],[BUYING PRIZE]]</f>
        <v>630</v>
      </c>
      <c r="M293" s="9">
        <f>InputData4[[#This Row],[QUANTITY]]*InputData4[[#This Row],[SELLING PRICE]]*(1-InputData4[[#This Row],[DISCOUNT %]])</f>
        <v>856.80000000000007</v>
      </c>
      <c r="N293" s="7">
        <f>DAY(InputData4[[#This Row],[DATE]])</f>
        <v>6</v>
      </c>
      <c r="O293" s="7">
        <f>MONTH(InputData4[[#This Row],[DATE]])</f>
        <v>2</v>
      </c>
      <c r="P293" s="7">
        <f>YEAR(InputData4[[#This Row],[DATE]])</f>
        <v>2022</v>
      </c>
    </row>
    <row r="294" spans="1:16" x14ac:dyDescent="0.3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  <c r="G294" t="str">
        <f>VLOOKUP(InputData4[[#This Row],[PRODUCT ID]],MasterData[],2,0)</f>
        <v>Product05</v>
      </c>
      <c r="H294" t="str">
        <f>VLOOKUP(InputData4[[#This Row],[PRODUCT ID]],MasterData[],3,0)</f>
        <v>Category01</v>
      </c>
      <c r="I294" t="str">
        <f>VLOOKUP(InputData4[[#This Row],[PRODUCT ID]],MasterData[],4,0)</f>
        <v>Ft</v>
      </c>
      <c r="J294" s="9">
        <f>VLOOKUP(InputData4[[#This Row],[PRODUCT ID]],MasterData[],5,0)</f>
        <v>133</v>
      </c>
      <c r="K294" s="9">
        <f>VLOOKUP(InputData4[[#This Row],[PRODUCT ID]],MasterData[],6,0)</f>
        <v>155.61000000000001</v>
      </c>
      <c r="L294" s="9">
        <f>InputData4[[#This Row],[QUANTITY]]*InputData4[[#This Row],[BUYING PRIZE]]</f>
        <v>1463</v>
      </c>
      <c r="M294" s="9">
        <f>InputData4[[#This Row],[QUANTITY]]*InputData4[[#This Row],[SELLING PRICE]]*(1-InputData4[[#This Row],[DISCOUNT %]])</f>
        <v>1711.71</v>
      </c>
      <c r="N294" s="7">
        <f>DAY(InputData4[[#This Row],[DATE]])</f>
        <v>8</v>
      </c>
      <c r="O294" s="7">
        <f>MONTH(InputData4[[#This Row],[DATE]])</f>
        <v>2</v>
      </c>
      <c r="P294" s="7">
        <f>YEAR(InputData4[[#This Row],[DATE]])</f>
        <v>2022</v>
      </c>
    </row>
    <row r="295" spans="1:16" x14ac:dyDescent="0.3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  <c r="G295" t="str">
        <f>VLOOKUP(InputData4[[#This Row],[PRODUCT ID]],MasterData[],2,0)</f>
        <v>Product04</v>
      </c>
      <c r="H295" t="str">
        <f>VLOOKUP(InputData4[[#This Row],[PRODUCT ID]],MasterData[],3,0)</f>
        <v>Category01</v>
      </c>
      <c r="I295" t="str">
        <f>VLOOKUP(InputData4[[#This Row],[PRODUCT ID]],MasterData[],4,0)</f>
        <v>Lt</v>
      </c>
      <c r="J295" s="9">
        <f>VLOOKUP(InputData4[[#This Row],[PRODUCT ID]],MasterData[],5,0)</f>
        <v>44</v>
      </c>
      <c r="K295" s="9">
        <f>VLOOKUP(InputData4[[#This Row],[PRODUCT ID]],MasterData[],6,0)</f>
        <v>48.84</v>
      </c>
      <c r="L295" s="9">
        <f>InputData4[[#This Row],[QUANTITY]]*InputData4[[#This Row],[BUYING PRIZE]]</f>
        <v>132</v>
      </c>
      <c r="M295" s="9">
        <f>InputData4[[#This Row],[QUANTITY]]*InputData4[[#This Row],[SELLING PRICE]]*(1-InputData4[[#This Row],[DISCOUNT %]])</f>
        <v>146.52000000000001</v>
      </c>
      <c r="N295" s="7">
        <f>DAY(InputData4[[#This Row],[DATE]])</f>
        <v>8</v>
      </c>
      <c r="O295" s="7">
        <f>MONTH(InputData4[[#This Row],[DATE]])</f>
        <v>2</v>
      </c>
      <c r="P295" s="7">
        <f>YEAR(InputData4[[#This Row],[DATE]])</f>
        <v>2022</v>
      </c>
    </row>
    <row r="296" spans="1:16" x14ac:dyDescent="0.3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  <c r="G296" t="str">
        <f>VLOOKUP(InputData4[[#This Row],[PRODUCT ID]],MasterData[],2,0)</f>
        <v>Product32</v>
      </c>
      <c r="H296" t="str">
        <f>VLOOKUP(InputData4[[#This Row],[PRODUCT ID]],MasterData[],3,0)</f>
        <v>Category04</v>
      </c>
      <c r="I296" t="str">
        <f>VLOOKUP(InputData4[[#This Row],[PRODUCT ID]],MasterData[],4,0)</f>
        <v>Kg</v>
      </c>
      <c r="J296" s="9">
        <f>VLOOKUP(InputData4[[#This Row],[PRODUCT ID]],MasterData[],5,0)</f>
        <v>89</v>
      </c>
      <c r="K296" s="9">
        <f>VLOOKUP(InputData4[[#This Row],[PRODUCT ID]],MasterData[],6,0)</f>
        <v>117.48</v>
      </c>
      <c r="L296" s="9">
        <f>InputData4[[#This Row],[QUANTITY]]*InputData4[[#This Row],[BUYING PRIZE]]</f>
        <v>1246</v>
      </c>
      <c r="M296" s="9">
        <f>InputData4[[#This Row],[QUANTITY]]*InputData4[[#This Row],[SELLING PRICE]]*(1-InputData4[[#This Row],[DISCOUNT %]])</f>
        <v>1644.72</v>
      </c>
      <c r="N296" s="7">
        <f>DAY(InputData4[[#This Row],[DATE]])</f>
        <v>9</v>
      </c>
      <c r="O296" s="7">
        <f>MONTH(InputData4[[#This Row],[DATE]])</f>
        <v>2</v>
      </c>
      <c r="P296" s="7">
        <f>YEAR(InputData4[[#This Row],[DATE]])</f>
        <v>2022</v>
      </c>
    </row>
    <row r="297" spans="1:16" x14ac:dyDescent="0.3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  <c r="G297" t="str">
        <f>VLOOKUP(InputData4[[#This Row],[PRODUCT ID]],MasterData[],2,0)</f>
        <v>Product10</v>
      </c>
      <c r="H297" t="str">
        <f>VLOOKUP(InputData4[[#This Row],[PRODUCT ID]],MasterData[],3,0)</f>
        <v>Category02</v>
      </c>
      <c r="I297" t="str">
        <f>VLOOKUP(InputData4[[#This Row],[PRODUCT ID]],MasterData[],4,0)</f>
        <v>Ft</v>
      </c>
      <c r="J297" s="9">
        <f>VLOOKUP(InputData4[[#This Row],[PRODUCT ID]],MasterData[],5,0)</f>
        <v>148</v>
      </c>
      <c r="K297" s="9">
        <f>VLOOKUP(InputData4[[#This Row],[PRODUCT ID]],MasterData[],6,0)</f>
        <v>164.28</v>
      </c>
      <c r="L297" s="9">
        <f>InputData4[[#This Row],[QUANTITY]]*InputData4[[#This Row],[BUYING PRIZE]]</f>
        <v>1924</v>
      </c>
      <c r="M297" s="9">
        <f>InputData4[[#This Row],[QUANTITY]]*InputData4[[#This Row],[SELLING PRICE]]*(1-InputData4[[#This Row],[DISCOUNT %]])</f>
        <v>2135.64</v>
      </c>
      <c r="N297" s="7">
        <f>DAY(InputData4[[#This Row],[DATE]])</f>
        <v>12</v>
      </c>
      <c r="O297" s="7">
        <f>MONTH(InputData4[[#This Row],[DATE]])</f>
        <v>2</v>
      </c>
      <c r="P297" s="7">
        <f>YEAR(InputData4[[#This Row],[DATE]])</f>
        <v>2022</v>
      </c>
    </row>
    <row r="298" spans="1:16" x14ac:dyDescent="0.3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  <c r="G298" t="str">
        <f>VLOOKUP(InputData4[[#This Row],[PRODUCT ID]],MasterData[],2,0)</f>
        <v>Product26</v>
      </c>
      <c r="H298" t="str">
        <f>VLOOKUP(InputData4[[#This Row],[PRODUCT ID]],MasterData[],3,0)</f>
        <v>Category04</v>
      </c>
      <c r="I298" t="str">
        <f>VLOOKUP(InputData4[[#This Row],[PRODUCT ID]],MasterData[],4,0)</f>
        <v>No.</v>
      </c>
      <c r="J298" s="9">
        <f>VLOOKUP(InputData4[[#This Row],[PRODUCT ID]],MasterData[],5,0)</f>
        <v>18</v>
      </c>
      <c r="K298" s="9">
        <f>VLOOKUP(InputData4[[#This Row],[PRODUCT ID]],MasterData[],6,0)</f>
        <v>24.66</v>
      </c>
      <c r="L298" s="9">
        <f>InputData4[[#This Row],[QUANTITY]]*InputData4[[#This Row],[BUYING PRIZE]]</f>
        <v>144</v>
      </c>
      <c r="M298" s="9">
        <f>InputData4[[#This Row],[QUANTITY]]*InputData4[[#This Row],[SELLING PRICE]]*(1-InputData4[[#This Row],[DISCOUNT %]])</f>
        <v>197.28</v>
      </c>
      <c r="N298" s="7">
        <f>DAY(InputData4[[#This Row],[DATE]])</f>
        <v>14</v>
      </c>
      <c r="O298" s="7">
        <f>MONTH(InputData4[[#This Row],[DATE]])</f>
        <v>2</v>
      </c>
      <c r="P298" s="7">
        <f>YEAR(InputData4[[#This Row],[DATE]])</f>
        <v>2022</v>
      </c>
    </row>
    <row r="299" spans="1:16" x14ac:dyDescent="0.3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  <c r="G299" t="str">
        <f>VLOOKUP(InputData4[[#This Row],[PRODUCT ID]],MasterData[],2,0)</f>
        <v>Product28</v>
      </c>
      <c r="H299" t="str">
        <f>VLOOKUP(InputData4[[#This Row],[PRODUCT ID]],MasterData[],3,0)</f>
        <v>Category04</v>
      </c>
      <c r="I299" t="str">
        <f>VLOOKUP(InputData4[[#This Row],[PRODUCT ID]],MasterData[],4,0)</f>
        <v>No.</v>
      </c>
      <c r="J299" s="9">
        <f>VLOOKUP(InputData4[[#This Row],[PRODUCT ID]],MasterData[],5,0)</f>
        <v>37</v>
      </c>
      <c r="K299" s="9">
        <f>VLOOKUP(InputData4[[#This Row],[PRODUCT ID]],MasterData[],6,0)</f>
        <v>41.81</v>
      </c>
      <c r="L299" s="9">
        <f>InputData4[[#This Row],[QUANTITY]]*InputData4[[#This Row],[BUYING PRIZE]]</f>
        <v>111</v>
      </c>
      <c r="M299" s="9">
        <f>InputData4[[#This Row],[QUANTITY]]*InputData4[[#This Row],[SELLING PRICE]]*(1-InputData4[[#This Row],[DISCOUNT %]])</f>
        <v>125.43</v>
      </c>
      <c r="N299" s="7">
        <f>DAY(InputData4[[#This Row],[DATE]])</f>
        <v>14</v>
      </c>
      <c r="O299" s="7">
        <f>MONTH(InputData4[[#This Row],[DATE]])</f>
        <v>2</v>
      </c>
      <c r="P299" s="7">
        <f>YEAR(InputData4[[#This Row],[DATE]])</f>
        <v>2022</v>
      </c>
    </row>
    <row r="300" spans="1:16" x14ac:dyDescent="0.3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  <c r="G300" t="str">
        <f>VLOOKUP(InputData4[[#This Row],[PRODUCT ID]],MasterData[],2,0)</f>
        <v>Product32</v>
      </c>
      <c r="H300" t="str">
        <f>VLOOKUP(InputData4[[#This Row],[PRODUCT ID]],MasterData[],3,0)</f>
        <v>Category04</v>
      </c>
      <c r="I300" t="str">
        <f>VLOOKUP(InputData4[[#This Row],[PRODUCT ID]],MasterData[],4,0)</f>
        <v>Kg</v>
      </c>
      <c r="J300" s="9">
        <f>VLOOKUP(InputData4[[#This Row],[PRODUCT ID]],MasterData[],5,0)</f>
        <v>89</v>
      </c>
      <c r="K300" s="9">
        <f>VLOOKUP(InputData4[[#This Row],[PRODUCT ID]],MasterData[],6,0)</f>
        <v>117.48</v>
      </c>
      <c r="L300" s="9">
        <f>InputData4[[#This Row],[QUANTITY]]*InputData4[[#This Row],[BUYING PRIZE]]</f>
        <v>89</v>
      </c>
      <c r="M300" s="9">
        <f>InputData4[[#This Row],[QUANTITY]]*InputData4[[#This Row],[SELLING PRICE]]*(1-InputData4[[#This Row],[DISCOUNT %]])</f>
        <v>117.48</v>
      </c>
      <c r="N300" s="7">
        <f>DAY(InputData4[[#This Row],[DATE]])</f>
        <v>16</v>
      </c>
      <c r="O300" s="7">
        <f>MONTH(InputData4[[#This Row],[DATE]])</f>
        <v>2</v>
      </c>
      <c r="P300" s="7">
        <f>YEAR(InputData4[[#This Row],[DATE]])</f>
        <v>2022</v>
      </c>
    </row>
    <row r="301" spans="1:16" x14ac:dyDescent="0.3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  <c r="G301" t="str">
        <f>VLOOKUP(InputData4[[#This Row],[PRODUCT ID]],MasterData[],2,0)</f>
        <v>Product02</v>
      </c>
      <c r="H301" t="str">
        <f>VLOOKUP(InputData4[[#This Row],[PRODUCT ID]],MasterData[],3,0)</f>
        <v>Category01</v>
      </c>
      <c r="I301" t="str">
        <f>VLOOKUP(InputData4[[#This Row],[PRODUCT ID]],MasterData[],4,0)</f>
        <v>Kg</v>
      </c>
      <c r="J301" s="9">
        <f>VLOOKUP(InputData4[[#This Row],[PRODUCT ID]],MasterData[],5,0)</f>
        <v>105</v>
      </c>
      <c r="K301" s="9">
        <f>VLOOKUP(InputData4[[#This Row],[PRODUCT ID]],MasterData[],6,0)</f>
        <v>142.80000000000001</v>
      </c>
      <c r="L301" s="9">
        <f>InputData4[[#This Row],[QUANTITY]]*InputData4[[#This Row],[BUYING PRIZE]]</f>
        <v>1365</v>
      </c>
      <c r="M301" s="9">
        <f>InputData4[[#This Row],[QUANTITY]]*InputData4[[#This Row],[SELLING PRICE]]*(1-InputData4[[#This Row],[DISCOUNT %]])</f>
        <v>1856.4</v>
      </c>
      <c r="N301" s="7">
        <f>DAY(InputData4[[#This Row],[DATE]])</f>
        <v>19</v>
      </c>
      <c r="O301" s="7">
        <f>MONTH(InputData4[[#This Row],[DATE]])</f>
        <v>2</v>
      </c>
      <c r="P301" s="7">
        <f>YEAR(InputData4[[#This Row],[DATE]])</f>
        <v>2022</v>
      </c>
    </row>
    <row r="302" spans="1:16" x14ac:dyDescent="0.3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  <c r="G302" t="str">
        <f>VLOOKUP(InputData4[[#This Row],[PRODUCT ID]],MasterData[],2,0)</f>
        <v>Product12</v>
      </c>
      <c r="H302" t="str">
        <f>VLOOKUP(InputData4[[#This Row],[PRODUCT ID]],MasterData[],3,0)</f>
        <v>Category02</v>
      </c>
      <c r="I302" t="str">
        <f>VLOOKUP(InputData4[[#This Row],[PRODUCT ID]],MasterData[],4,0)</f>
        <v>Kg</v>
      </c>
      <c r="J302" s="9">
        <f>VLOOKUP(InputData4[[#This Row],[PRODUCT ID]],MasterData[],5,0)</f>
        <v>73</v>
      </c>
      <c r="K302" s="9">
        <f>VLOOKUP(InputData4[[#This Row],[PRODUCT ID]],MasterData[],6,0)</f>
        <v>94.17</v>
      </c>
      <c r="L302" s="9">
        <f>InputData4[[#This Row],[QUANTITY]]*InputData4[[#This Row],[BUYING PRIZE]]</f>
        <v>438</v>
      </c>
      <c r="M302" s="9">
        <f>InputData4[[#This Row],[QUANTITY]]*InputData4[[#This Row],[SELLING PRICE]]*(1-InputData4[[#This Row],[DISCOUNT %]])</f>
        <v>565.02</v>
      </c>
      <c r="N302" s="7">
        <f>DAY(InputData4[[#This Row],[DATE]])</f>
        <v>20</v>
      </c>
      <c r="O302" s="7">
        <f>MONTH(InputData4[[#This Row],[DATE]])</f>
        <v>2</v>
      </c>
      <c r="P302" s="7">
        <f>YEAR(InputData4[[#This Row],[DATE]])</f>
        <v>2022</v>
      </c>
    </row>
    <row r="303" spans="1:16" x14ac:dyDescent="0.3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  <c r="G303" t="str">
        <f>VLOOKUP(InputData4[[#This Row],[PRODUCT ID]],MasterData[],2,0)</f>
        <v>Product13</v>
      </c>
      <c r="H303" t="str">
        <f>VLOOKUP(InputData4[[#This Row],[PRODUCT ID]],MasterData[],3,0)</f>
        <v>Category02</v>
      </c>
      <c r="I303" t="str">
        <f>VLOOKUP(InputData4[[#This Row],[PRODUCT ID]],MasterData[],4,0)</f>
        <v>Kg</v>
      </c>
      <c r="J303" s="9">
        <f>VLOOKUP(InputData4[[#This Row],[PRODUCT ID]],MasterData[],5,0)</f>
        <v>112</v>
      </c>
      <c r="K303" s="9">
        <f>VLOOKUP(InputData4[[#This Row],[PRODUCT ID]],MasterData[],6,0)</f>
        <v>122.08</v>
      </c>
      <c r="L303" s="9">
        <f>InputData4[[#This Row],[QUANTITY]]*InputData4[[#This Row],[BUYING PRIZE]]</f>
        <v>672</v>
      </c>
      <c r="M303" s="9">
        <f>InputData4[[#This Row],[QUANTITY]]*InputData4[[#This Row],[SELLING PRICE]]*(1-InputData4[[#This Row],[DISCOUNT %]])</f>
        <v>732.48</v>
      </c>
      <c r="N303" s="7">
        <f>DAY(InputData4[[#This Row],[DATE]])</f>
        <v>23</v>
      </c>
      <c r="O303" s="7">
        <f>MONTH(InputData4[[#This Row],[DATE]])</f>
        <v>2</v>
      </c>
      <c r="P303" s="7">
        <f>YEAR(InputData4[[#This Row],[DATE]])</f>
        <v>2022</v>
      </c>
    </row>
    <row r="304" spans="1:16" x14ac:dyDescent="0.3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  <c r="G304" t="str">
        <f>VLOOKUP(InputData4[[#This Row],[PRODUCT ID]],MasterData[],2,0)</f>
        <v>Product16</v>
      </c>
      <c r="H304" t="str">
        <f>VLOOKUP(InputData4[[#This Row],[PRODUCT ID]],MasterData[],3,0)</f>
        <v>Category02</v>
      </c>
      <c r="I304" t="str">
        <f>VLOOKUP(InputData4[[#This Row],[PRODUCT ID]],MasterData[],4,0)</f>
        <v>No.</v>
      </c>
      <c r="J304" s="9">
        <f>VLOOKUP(InputData4[[#This Row],[PRODUCT ID]],MasterData[],5,0)</f>
        <v>13</v>
      </c>
      <c r="K304" s="9">
        <f>VLOOKUP(InputData4[[#This Row],[PRODUCT ID]],MasterData[],6,0)</f>
        <v>16.64</v>
      </c>
      <c r="L304" s="9">
        <f>InputData4[[#This Row],[QUANTITY]]*InputData4[[#This Row],[BUYING PRIZE]]</f>
        <v>195</v>
      </c>
      <c r="M304" s="9">
        <f>InputData4[[#This Row],[QUANTITY]]*InputData4[[#This Row],[SELLING PRICE]]*(1-InputData4[[#This Row],[DISCOUNT %]])</f>
        <v>249.60000000000002</v>
      </c>
      <c r="N304" s="7">
        <f>DAY(InputData4[[#This Row],[DATE]])</f>
        <v>23</v>
      </c>
      <c r="O304" s="7">
        <f>MONTH(InputData4[[#This Row],[DATE]])</f>
        <v>2</v>
      </c>
      <c r="P304" s="7">
        <f>YEAR(InputData4[[#This Row],[DATE]])</f>
        <v>2022</v>
      </c>
    </row>
    <row r="305" spans="1:16" x14ac:dyDescent="0.3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  <c r="G305" t="str">
        <f>VLOOKUP(InputData4[[#This Row],[PRODUCT ID]],MasterData[],2,0)</f>
        <v>Product36</v>
      </c>
      <c r="H305" t="str">
        <f>VLOOKUP(InputData4[[#This Row],[PRODUCT ID]],MasterData[],3,0)</f>
        <v>Category04</v>
      </c>
      <c r="I305" t="str">
        <f>VLOOKUP(InputData4[[#This Row],[PRODUCT ID]],MasterData[],4,0)</f>
        <v>Kg</v>
      </c>
      <c r="J305" s="9">
        <f>VLOOKUP(InputData4[[#This Row],[PRODUCT ID]],MasterData[],5,0)</f>
        <v>90</v>
      </c>
      <c r="K305" s="9">
        <f>VLOOKUP(InputData4[[#This Row],[PRODUCT ID]],MasterData[],6,0)</f>
        <v>96.3</v>
      </c>
      <c r="L305" s="9">
        <f>InputData4[[#This Row],[QUANTITY]]*InputData4[[#This Row],[BUYING PRIZE]]</f>
        <v>720</v>
      </c>
      <c r="M305" s="9">
        <f>InputData4[[#This Row],[QUANTITY]]*InputData4[[#This Row],[SELLING PRICE]]*(1-InputData4[[#This Row],[DISCOUNT %]])</f>
        <v>770.4</v>
      </c>
      <c r="N305" s="7">
        <f>DAY(InputData4[[#This Row],[DATE]])</f>
        <v>23</v>
      </c>
      <c r="O305" s="7">
        <f>MONTH(InputData4[[#This Row],[DATE]])</f>
        <v>2</v>
      </c>
      <c r="P305" s="7">
        <f>YEAR(InputData4[[#This Row],[DATE]])</f>
        <v>2022</v>
      </c>
    </row>
    <row r="306" spans="1:16" x14ac:dyDescent="0.3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  <c r="G306" t="str">
        <f>VLOOKUP(InputData4[[#This Row],[PRODUCT ID]],MasterData[],2,0)</f>
        <v>Product12</v>
      </c>
      <c r="H306" t="str">
        <f>VLOOKUP(InputData4[[#This Row],[PRODUCT ID]],MasterData[],3,0)</f>
        <v>Category02</v>
      </c>
      <c r="I306" t="str">
        <f>VLOOKUP(InputData4[[#This Row],[PRODUCT ID]],MasterData[],4,0)</f>
        <v>Kg</v>
      </c>
      <c r="J306" s="9">
        <f>VLOOKUP(InputData4[[#This Row],[PRODUCT ID]],MasterData[],5,0)</f>
        <v>73</v>
      </c>
      <c r="K306" s="9">
        <f>VLOOKUP(InputData4[[#This Row],[PRODUCT ID]],MasterData[],6,0)</f>
        <v>94.17</v>
      </c>
      <c r="L306" s="9">
        <f>InputData4[[#This Row],[QUANTITY]]*InputData4[[#This Row],[BUYING PRIZE]]</f>
        <v>511</v>
      </c>
      <c r="M306" s="9">
        <f>InputData4[[#This Row],[QUANTITY]]*InputData4[[#This Row],[SELLING PRICE]]*(1-InputData4[[#This Row],[DISCOUNT %]])</f>
        <v>659.19</v>
      </c>
      <c r="N306" s="7">
        <f>DAY(InputData4[[#This Row],[DATE]])</f>
        <v>27</v>
      </c>
      <c r="O306" s="7">
        <f>MONTH(InputData4[[#This Row],[DATE]])</f>
        <v>2</v>
      </c>
      <c r="P306" s="7">
        <f>YEAR(InputData4[[#This Row],[DATE]])</f>
        <v>2022</v>
      </c>
    </row>
    <row r="307" spans="1:16" x14ac:dyDescent="0.3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  <c r="G307" t="str">
        <f>VLOOKUP(InputData4[[#This Row],[PRODUCT ID]],MasterData[],2,0)</f>
        <v>Product05</v>
      </c>
      <c r="H307" t="str">
        <f>VLOOKUP(InputData4[[#This Row],[PRODUCT ID]],MasterData[],3,0)</f>
        <v>Category01</v>
      </c>
      <c r="I307" t="str">
        <f>VLOOKUP(InputData4[[#This Row],[PRODUCT ID]],MasterData[],4,0)</f>
        <v>Ft</v>
      </c>
      <c r="J307" s="9">
        <f>VLOOKUP(InputData4[[#This Row],[PRODUCT ID]],MasterData[],5,0)</f>
        <v>133</v>
      </c>
      <c r="K307" s="9">
        <f>VLOOKUP(InputData4[[#This Row],[PRODUCT ID]],MasterData[],6,0)</f>
        <v>155.61000000000001</v>
      </c>
      <c r="L307" s="9">
        <f>InputData4[[#This Row],[QUANTITY]]*InputData4[[#This Row],[BUYING PRIZE]]</f>
        <v>1995</v>
      </c>
      <c r="M307" s="9">
        <f>InputData4[[#This Row],[QUANTITY]]*InputData4[[#This Row],[SELLING PRICE]]*(1-InputData4[[#This Row],[DISCOUNT %]])</f>
        <v>2334.15</v>
      </c>
      <c r="N307" s="7">
        <f>DAY(InputData4[[#This Row],[DATE]])</f>
        <v>27</v>
      </c>
      <c r="O307" s="7">
        <f>MONTH(InputData4[[#This Row],[DATE]])</f>
        <v>2</v>
      </c>
      <c r="P307" s="7">
        <f>YEAR(InputData4[[#This Row],[DATE]])</f>
        <v>2022</v>
      </c>
    </row>
    <row r="308" spans="1:16" x14ac:dyDescent="0.3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  <c r="G308" t="str">
        <f>VLOOKUP(InputData4[[#This Row],[PRODUCT ID]],MasterData[],2,0)</f>
        <v>Product37</v>
      </c>
      <c r="H308" t="str">
        <f>VLOOKUP(InputData4[[#This Row],[PRODUCT ID]],MasterData[],3,0)</f>
        <v>Category05</v>
      </c>
      <c r="I308" t="str">
        <f>VLOOKUP(InputData4[[#This Row],[PRODUCT ID]],MasterData[],4,0)</f>
        <v>Kg</v>
      </c>
      <c r="J308" s="9">
        <f>VLOOKUP(InputData4[[#This Row],[PRODUCT ID]],MasterData[],5,0)</f>
        <v>67</v>
      </c>
      <c r="K308" s="9">
        <f>VLOOKUP(InputData4[[#This Row],[PRODUCT ID]],MasterData[],6,0)</f>
        <v>85.76</v>
      </c>
      <c r="L308" s="9">
        <f>InputData4[[#This Row],[QUANTITY]]*InputData4[[#This Row],[BUYING PRIZE]]</f>
        <v>1005</v>
      </c>
      <c r="M308" s="9">
        <f>InputData4[[#This Row],[QUANTITY]]*InputData4[[#This Row],[SELLING PRICE]]*(1-InputData4[[#This Row],[DISCOUNT %]])</f>
        <v>1286.4000000000001</v>
      </c>
      <c r="N308" s="7">
        <f>DAY(InputData4[[#This Row],[DATE]])</f>
        <v>28</v>
      </c>
      <c r="O308" s="7">
        <f>MONTH(InputData4[[#This Row],[DATE]])</f>
        <v>2</v>
      </c>
      <c r="P308" s="7">
        <f>YEAR(InputData4[[#This Row],[DATE]])</f>
        <v>2022</v>
      </c>
    </row>
    <row r="309" spans="1:16" x14ac:dyDescent="0.3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  <c r="G309" t="str">
        <f>VLOOKUP(InputData4[[#This Row],[PRODUCT ID]],MasterData[],2,0)</f>
        <v>Product26</v>
      </c>
      <c r="H309" t="str">
        <f>VLOOKUP(InputData4[[#This Row],[PRODUCT ID]],MasterData[],3,0)</f>
        <v>Category04</v>
      </c>
      <c r="I309" t="str">
        <f>VLOOKUP(InputData4[[#This Row],[PRODUCT ID]],MasterData[],4,0)</f>
        <v>No.</v>
      </c>
      <c r="J309" s="9">
        <f>VLOOKUP(InputData4[[#This Row],[PRODUCT ID]],MasterData[],5,0)</f>
        <v>18</v>
      </c>
      <c r="K309" s="9">
        <f>VLOOKUP(InputData4[[#This Row],[PRODUCT ID]],MasterData[],6,0)</f>
        <v>24.66</v>
      </c>
      <c r="L309" s="9">
        <f>InputData4[[#This Row],[QUANTITY]]*InputData4[[#This Row],[BUYING PRIZE]]</f>
        <v>234</v>
      </c>
      <c r="M309" s="9">
        <f>InputData4[[#This Row],[QUANTITY]]*InputData4[[#This Row],[SELLING PRICE]]*(1-InputData4[[#This Row],[DISCOUNT %]])</f>
        <v>320.58</v>
      </c>
      <c r="N309" s="7">
        <f>DAY(InputData4[[#This Row],[DATE]])</f>
        <v>4</v>
      </c>
      <c r="O309" s="7">
        <f>MONTH(InputData4[[#This Row],[DATE]])</f>
        <v>3</v>
      </c>
      <c r="P309" s="7">
        <f>YEAR(InputData4[[#This Row],[DATE]])</f>
        <v>2022</v>
      </c>
    </row>
    <row r="310" spans="1:16" x14ac:dyDescent="0.3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  <c r="G310" t="str">
        <f>VLOOKUP(InputData4[[#This Row],[PRODUCT ID]],MasterData[],2,0)</f>
        <v>Product04</v>
      </c>
      <c r="H310" t="str">
        <f>VLOOKUP(InputData4[[#This Row],[PRODUCT ID]],MasterData[],3,0)</f>
        <v>Category01</v>
      </c>
      <c r="I310" t="str">
        <f>VLOOKUP(InputData4[[#This Row],[PRODUCT ID]],MasterData[],4,0)</f>
        <v>Lt</v>
      </c>
      <c r="J310" s="9">
        <f>VLOOKUP(InputData4[[#This Row],[PRODUCT ID]],MasterData[],5,0)</f>
        <v>44</v>
      </c>
      <c r="K310" s="9">
        <f>VLOOKUP(InputData4[[#This Row],[PRODUCT ID]],MasterData[],6,0)</f>
        <v>48.84</v>
      </c>
      <c r="L310" s="9">
        <f>InputData4[[#This Row],[QUANTITY]]*InputData4[[#This Row],[BUYING PRIZE]]</f>
        <v>88</v>
      </c>
      <c r="M310" s="9">
        <f>InputData4[[#This Row],[QUANTITY]]*InputData4[[#This Row],[SELLING PRICE]]*(1-InputData4[[#This Row],[DISCOUNT %]])</f>
        <v>97.68</v>
      </c>
      <c r="N310" s="7">
        <f>DAY(InputData4[[#This Row],[DATE]])</f>
        <v>6</v>
      </c>
      <c r="O310" s="7">
        <f>MONTH(InputData4[[#This Row],[DATE]])</f>
        <v>3</v>
      </c>
      <c r="P310" s="7">
        <f>YEAR(InputData4[[#This Row],[DATE]])</f>
        <v>2022</v>
      </c>
    </row>
    <row r="311" spans="1:16" x14ac:dyDescent="0.3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  <c r="G311" t="str">
        <f>VLOOKUP(InputData4[[#This Row],[PRODUCT ID]],MasterData[],2,0)</f>
        <v>Product03</v>
      </c>
      <c r="H311" t="str">
        <f>VLOOKUP(InputData4[[#This Row],[PRODUCT ID]],MasterData[],3,0)</f>
        <v>Category01</v>
      </c>
      <c r="I311" t="str">
        <f>VLOOKUP(InputData4[[#This Row],[PRODUCT ID]],MasterData[],4,0)</f>
        <v>Kg</v>
      </c>
      <c r="J311" s="9">
        <f>VLOOKUP(InputData4[[#This Row],[PRODUCT ID]],MasterData[],5,0)</f>
        <v>71</v>
      </c>
      <c r="K311" s="9">
        <f>VLOOKUP(InputData4[[#This Row],[PRODUCT ID]],MasterData[],6,0)</f>
        <v>80.94</v>
      </c>
      <c r="L311" s="9">
        <f>InputData4[[#This Row],[QUANTITY]]*InputData4[[#This Row],[BUYING PRIZE]]</f>
        <v>71</v>
      </c>
      <c r="M311" s="9">
        <f>InputData4[[#This Row],[QUANTITY]]*InputData4[[#This Row],[SELLING PRICE]]*(1-InputData4[[#This Row],[DISCOUNT %]])</f>
        <v>80.94</v>
      </c>
      <c r="N311" s="7">
        <f>DAY(InputData4[[#This Row],[DATE]])</f>
        <v>7</v>
      </c>
      <c r="O311" s="7">
        <f>MONTH(InputData4[[#This Row],[DATE]])</f>
        <v>3</v>
      </c>
      <c r="P311" s="7">
        <f>YEAR(InputData4[[#This Row],[DATE]])</f>
        <v>2022</v>
      </c>
    </row>
    <row r="312" spans="1:16" x14ac:dyDescent="0.3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  <c r="G312" t="str">
        <f>VLOOKUP(InputData4[[#This Row],[PRODUCT ID]],MasterData[],2,0)</f>
        <v>Product44</v>
      </c>
      <c r="H312" t="str">
        <f>VLOOKUP(InputData4[[#This Row],[PRODUCT ID]],MasterData[],3,0)</f>
        <v>Category05</v>
      </c>
      <c r="I312" t="str">
        <f>VLOOKUP(InputData4[[#This Row],[PRODUCT ID]],MasterData[],4,0)</f>
        <v>Kg</v>
      </c>
      <c r="J312" s="9">
        <f>VLOOKUP(InputData4[[#This Row],[PRODUCT ID]],MasterData[],5,0)</f>
        <v>76</v>
      </c>
      <c r="K312" s="9">
        <f>VLOOKUP(InputData4[[#This Row],[PRODUCT ID]],MasterData[],6,0)</f>
        <v>82.08</v>
      </c>
      <c r="L312" s="9">
        <f>InputData4[[#This Row],[QUANTITY]]*InputData4[[#This Row],[BUYING PRIZE]]</f>
        <v>456</v>
      </c>
      <c r="M312" s="9">
        <f>InputData4[[#This Row],[QUANTITY]]*InputData4[[#This Row],[SELLING PRICE]]*(1-InputData4[[#This Row],[DISCOUNT %]])</f>
        <v>492.48</v>
      </c>
      <c r="N312" s="7">
        <f>DAY(InputData4[[#This Row],[DATE]])</f>
        <v>8</v>
      </c>
      <c r="O312" s="7">
        <f>MONTH(InputData4[[#This Row],[DATE]])</f>
        <v>3</v>
      </c>
      <c r="P312" s="7">
        <f>YEAR(InputData4[[#This Row],[DATE]])</f>
        <v>2022</v>
      </c>
    </row>
    <row r="313" spans="1:16" x14ac:dyDescent="0.3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  <c r="G313" t="str">
        <f>VLOOKUP(InputData4[[#This Row],[PRODUCT ID]],MasterData[],2,0)</f>
        <v>Product30</v>
      </c>
      <c r="H313" t="str">
        <f>VLOOKUP(InputData4[[#This Row],[PRODUCT ID]],MasterData[],3,0)</f>
        <v>Category04</v>
      </c>
      <c r="I313" t="str">
        <f>VLOOKUP(InputData4[[#This Row],[PRODUCT ID]],MasterData[],4,0)</f>
        <v>Ft</v>
      </c>
      <c r="J313" s="9">
        <f>VLOOKUP(InputData4[[#This Row],[PRODUCT ID]],MasterData[],5,0)</f>
        <v>148</v>
      </c>
      <c r="K313" s="9">
        <f>VLOOKUP(InputData4[[#This Row],[PRODUCT ID]],MasterData[],6,0)</f>
        <v>201.28</v>
      </c>
      <c r="L313" s="9">
        <f>InputData4[[#This Row],[QUANTITY]]*InputData4[[#This Row],[BUYING PRIZE]]</f>
        <v>444</v>
      </c>
      <c r="M313" s="9">
        <f>InputData4[[#This Row],[QUANTITY]]*InputData4[[#This Row],[SELLING PRICE]]*(1-InputData4[[#This Row],[DISCOUNT %]])</f>
        <v>603.84</v>
      </c>
      <c r="N313" s="7">
        <f>DAY(InputData4[[#This Row],[DATE]])</f>
        <v>9</v>
      </c>
      <c r="O313" s="7">
        <f>MONTH(InputData4[[#This Row],[DATE]])</f>
        <v>3</v>
      </c>
      <c r="P313" s="7">
        <f>YEAR(InputData4[[#This Row],[DATE]])</f>
        <v>2022</v>
      </c>
    </row>
    <row r="314" spans="1:16" x14ac:dyDescent="0.3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  <c r="G314" t="str">
        <f>VLOOKUP(InputData4[[#This Row],[PRODUCT ID]],MasterData[],2,0)</f>
        <v>Product04</v>
      </c>
      <c r="H314" t="str">
        <f>VLOOKUP(InputData4[[#This Row],[PRODUCT ID]],MasterData[],3,0)</f>
        <v>Category01</v>
      </c>
      <c r="I314" t="str">
        <f>VLOOKUP(InputData4[[#This Row],[PRODUCT ID]],MasterData[],4,0)</f>
        <v>Lt</v>
      </c>
      <c r="J314" s="9">
        <f>VLOOKUP(InputData4[[#This Row],[PRODUCT ID]],MasterData[],5,0)</f>
        <v>44</v>
      </c>
      <c r="K314" s="9">
        <f>VLOOKUP(InputData4[[#This Row],[PRODUCT ID]],MasterData[],6,0)</f>
        <v>48.84</v>
      </c>
      <c r="L314" s="9">
        <f>InputData4[[#This Row],[QUANTITY]]*InputData4[[#This Row],[BUYING PRIZE]]</f>
        <v>484</v>
      </c>
      <c r="M314" s="9">
        <f>InputData4[[#This Row],[QUANTITY]]*InputData4[[#This Row],[SELLING PRICE]]*(1-InputData4[[#This Row],[DISCOUNT %]])</f>
        <v>537.24</v>
      </c>
      <c r="N314" s="7">
        <f>DAY(InputData4[[#This Row],[DATE]])</f>
        <v>9</v>
      </c>
      <c r="O314" s="7">
        <f>MONTH(InputData4[[#This Row],[DATE]])</f>
        <v>3</v>
      </c>
      <c r="P314" s="7">
        <f>YEAR(InputData4[[#This Row],[DATE]])</f>
        <v>2022</v>
      </c>
    </row>
    <row r="315" spans="1:16" x14ac:dyDescent="0.3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  <c r="G315" t="str">
        <f>VLOOKUP(InputData4[[#This Row],[PRODUCT ID]],MasterData[],2,0)</f>
        <v>Product33</v>
      </c>
      <c r="H315" t="str">
        <f>VLOOKUP(InputData4[[#This Row],[PRODUCT ID]],MasterData[],3,0)</f>
        <v>Category04</v>
      </c>
      <c r="I315" t="str">
        <f>VLOOKUP(InputData4[[#This Row],[PRODUCT ID]],MasterData[],4,0)</f>
        <v>Kg</v>
      </c>
      <c r="J315" s="9">
        <f>VLOOKUP(InputData4[[#This Row],[PRODUCT ID]],MasterData[],5,0)</f>
        <v>95</v>
      </c>
      <c r="K315" s="9">
        <f>VLOOKUP(InputData4[[#This Row],[PRODUCT ID]],MasterData[],6,0)</f>
        <v>119.7</v>
      </c>
      <c r="L315" s="9">
        <f>InputData4[[#This Row],[QUANTITY]]*InputData4[[#This Row],[BUYING PRIZE]]</f>
        <v>1140</v>
      </c>
      <c r="M315" s="9">
        <f>InputData4[[#This Row],[QUANTITY]]*InputData4[[#This Row],[SELLING PRICE]]*(1-InputData4[[#This Row],[DISCOUNT %]])</f>
        <v>1436.4</v>
      </c>
      <c r="N315" s="7">
        <f>DAY(InputData4[[#This Row],[DATE]])</f>
        <v>10</v>
      </c>
      <c r="O315" s="7">
        <f>MONTH(InputData4[[#This Row],[DATE]])</f>
        <v>3</v>
      </c>
      <c r="P315" s="7">
        <f>YEAR(InputData4[[#This Row],[DATE]])</f>
        <v>2022</v>
      </c>
    </row>
    <row r="316" spans="1:16" x14ac:dyDescent="0.3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  <c r="G316" t="str">
        <f>VLOOKUP(InputData4[[#This Row],[PRODUCT ID]],MasterData[],2,0)</f>
        <v>Product16</v>
      </c>
      <c r="H316" t="str">
        <f>VLOOKUP(InputData4[[#This Row],[PRODUCT ID]],MasterData[],3,0)</f>
        <v>Category02</v>
      </c>
      <c r="I316" t="str">
        <f>VLOOKUP(InputData4[[#This Row],[PRODUCT ID]],MasterData[],4,0)</f>
        <v>No.</v>
      </c>
      <c r="J316" s="9">
        <f>VLOOKUP(InputData4[[#This Row],[PRODUCT ID]],MasterData[],5,0)</f>
        <v>13</v>
      </c>
      <c r="K316" s="9">
        <f>VLOOKUP(InputData4[[#This Row],[PRODUCT ID]],MasterData[],6,0)</f>
        <v>16.64</v>
      </c>
      <c r="L316" s="9">
        <f>InputData4[[#This Row],[QUANTITY]]*InputData4[[#This Row],[BUYING PRIZE]]</f>
        <v>26</v>
      </c>
      <c r="M316" s="9">
        <f>InputData4[[#This Row],[QUANTITY]]*InputData4[[#This Row],[SELLING PRICE]]*(1-InputData4[[#This Row],[DISCOUNT %]])</f>
        <v>33.28</v>
      </c>
      <c r="N316" s="7">
        <f>DAY(InputData4[[#This Row],[DATE]])</f>
        <v>14</v>
      </c>
      <c r="O316" s="7">
        <f>MONTH(InputData4[[#This Row],[DATE]])</f>
        <v>3</v>
      </c>
      <c r="P316" s="7">
        <f>YEAR(InputData4[[#This Row],[DATE]])</f>
        <v>2022</v>
      </c>
    </row>
    <row r="317" spans="1:16" x14ac:dyDescent="0.3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  <c r="G317" t="str">
        <f>VLOOKUP(InputData4[[#This Row],[PRODUCT ID]],MasterData[],2,0)</f>
        <v>Product26</v>
      </c>
      <c r="H317" t="str">
        <f>VLOOKUP(InputData4[[#This Row],[PRODUCT ID]],MasterData[],3,0)</f>
        <v>Category04</v>
      </c>
      <c r="I317" t="str">
        <f>VLOOKUP(InputData4[[#This Row],[PRODUCT ID]],MasterData[],4,0)</f>
        <v>No.</v>
      </c>
      <c r="J317" s="9">
        <f>VLOOKUP(InputData4[[#This Row],[PRODUCT ID]],MasterData[],5,0)</f>
        <v>18</v>
      </c>
      <c r="K317" s="9">
        <f>VLOOKUP(InputData4[[#This Row],[PRODUCT ID]],MasterData[],6,0)</f>
        <v>24.66</v>
      </c>
      <c r="L317" s="9">
        <f>InputData4[[#This Row],[QUANTITY]]*InputData4[[#This Row],[BUYING PRIZE]]</f>
        <v>234</v>
      </c>
      <c r="M317" s="9">
        <f>InputData4[[#This Row],[QUANTITY]]*InputData4[[#This Row],[SELLING PRICE]]*(1-InputData4[[#This Row],[DISCOUNT %]])</f>
        <v>320.58</v>
      </c>
      <c r="N317" s="7">
        <f>DAY(InputData4[[#This Row],[DATE]])</f>
        <v>14</v>
      </c>
      <c r="O317" s="7">
        <f>MONTH(InputData4[[#This Row],[DATE]])</f>
        <v>3</v>
      </c>
      <c r="P317" s="7">
        <f>YEAR(InputData4[[#This Row],[DATE]])</f>
        <v>2022</v>
      </c>
    </row>
    <row r="318" spans="1:16" x14ac:dyDescent="0.3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  <c r="G318" t="str">
        <f>VLOOKUP(InputData4[[#This Row],[PRODUCT ID]],MasterData[],2,0)</f>
        <v>Product19</v>
      </c>
      <c r="H318" t="str">
        <f>VLOOKUP(InputData4[[#This Row],[PRODUCT ID]],MasterData[],3,0)</f>
        <v>Category02</v>
      </c>
      <c r="I318" t="str">
        <f>VLOOKUP(InputData4[[#This Row],[PRODUCT ID]],MasterData[],4,0)</f>
        <v>Ft</v>
      </c>
      <c r="J318" s="9">
        <f>VLOOKUP(InputData4[[#This Row],[PRODUCT ID]],MasterData[],5,0)</f>
        <v>150</v>
      </c>
      <c r="K318" s="9">
        <f>VLOOKUP(InputData4[[#This Row],[PRODUCT ID]],MasterData[],6,0)</f>
        <v>210</v>
      </c>
      <c r="L318" s="9">
        <f>InputData4[[#This Row],[QUANTITY]]*InputData4[[#This Row],[BUYING PRIZE]]</f>
        <v>300</v>
      </c>
      <c r="M318" s="9">
        <f>InputData4[[#This Row],[QUANTITY]]*InputData4[[#This Row],[SELLING PRICE]]*(1-InputData4[[#This Row],[DISCOUNT %]])</f>
        <v>420</v>
      </c>
      <c r="N318" s="7">
        <f>DAY(InputData4[[#This Row],[DATE]])</f>
        <v>18</v>
      </c>
      <c r="O318" s="7">
        <f>MONTH(InputData4[[#This Row],[DATE]])</f>
        <v>3</v>
      </c>
      <c r="P318" s="7">
        <f>YEAR(InputData4[[#This Row],[DATE]])</f>
        <v>2022</v>
      </c>
    </row>
    <row r="319" spans="1:16" x14ac:dyDescent="0.3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  <c r="G319" t="str">
        <f>VLOOKUP(InputData4[[#This Row],[PRODUCT ID]],MasterData[],2,0)</f>
        <v>Product27</v>
      </c>
      <c r="H319" t="str">
        <f>VLOOKUP(InputData4[[#This Row],[PRODUCT ID]],MasterData[],3,0)</f>
        <v>Category04</v>
      </c>
      <c r="I319" t="str">
        <f>VLOOKUP(InputData4[[#This Row],[PRODUCT ID]],MasterData[],4,0)</f>
        <v>Lt</v>
      </c>
      <c r="J319" s="9">
        <f>VLOOKUP(InputData4[[#This Row],[PRODUCT ID]],MasterData[],5,0)</f>
        <v>48</v>
      </c>
      <c r="K319" s="9">
        <f>VLOOKUP(InputData4[[#This Row],[PRODUCT ID]],MasterData[],6,0)</f>
        <v>57.120000000000005</v>
      </c>
      <c r="L319" s="9">
        <f>InputData4[[#This Row],[QUANTITY]]*InputData4[[#This Row],[BUYING PRIZE]]</f>
        <v>480</v>
      </c>
      <c r="M319" s="9">
        <f>InputData4[[#This Row],[QUANTITY]]*InputData4[[#This Row],[SELLING PRICE]]*(1-InputData4[[#This Row],[DISCOUNT %]])</f>
        <v>571.20000000000005</v>
      </c>
      <c r="N319" s="7">
        <f>DAY(InputData4[[#This Row],[DATE]])</f>
        <v>18</v>
      </c>
      <c r="O319" s="7">
        <f>MONTH(InputData4[[#This Row],[DATE]])</f>
        <v>3</v>
      </c>
      <c r="P319" s="7">
        <f>YEAR(InputData4[[#This Row],[DATE]])</f>
        <v>2022</v>
      </c>
    </row>
    <row r="320" spans="1:16" x14ac:dyDescent="0.3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  <c r="G320" t="str">
        <f>VLOOKUP(InputData4[[#This Row],[PRODUCT ID]],MasterData[],2,0)</f>
        <v>Product41</v>
      </c>
      <c r="H320" t="str">
        <f>VLOOKUP(InputData4[[#This Row],[PRODUCT ID]],MasterData[],3,0)</f>
        <v>Category05</v>
      </c>
      <c r="I320" t="str">
        <f>VLOOKUP(InputData4[[#This Row],[PRODUCT ID]],MasterData[],4,0)</f>
        <v>Ft</v>
      </c>
      <c r="J320" s="9">
        <f>VLOOKUP(InputData4[[#This Row],[PRODUCT ID]],MasterData[],5,0)</f>
        <v>138</v>
      </c>
      <c r="K320" s="9">
        <f>VLOOKUP(InputData4[[#This Row],[PRODUCT ID]],MasterData[],6,0)</f>
        <v>173.88</v>
      </c>
      <c r="L320" s="9">
        <f>InputData4[[#This Row],[QUANTITY]]*InputData4[[#This Row],[BUYING PRIZE]]</f>
        <v>828</v>
      </c>
      <c r="M320" s="9">
        <f>InputData4[[#This Row],[QUANTITY]]*InputData4[[#This Row],[SELLING PRICE]]*(1-InputData4[[#This Row],[DISCOUNT %]])</f>
        <v>1043.28</v>
      </c>
      <c r="N320" s="7">
        <f>DAY(InputData4[[#This Row],[DATE]])</f>
        <v>19</v>
      </c>
      <c r="O320" s="7">
        <f>MONTH(InputData4[[#This Row],[DATE]])</f>
        <v>3</v>
      </c>
      <c r="P320" s="7">
        <f>YEAR(InputData4[[#This Row],[DATE]])</f>
        <v>2022</v>
      </c>
    </row>
    <row r="321" spans="1:16" x14ac:dyDescent="0.3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  <c r="G321" t="str">
        <f>VLOOKUP(InputData4[[#This Row],[PRODUCT ID]],MasterData[],2,0)</f>
        <v>Product32</v>
      </c>
      <c r="H321" t="str">
        <f>VLOOKUP(InputData4[[#This Row],[PRODUCT ID]],MasterData[],3,0)</f>
        <v>Category04</v>
      </c>
      <c r="I321" t="str">
        <f>VLOOKUP(InputData4[[#This Row],[PRODUCT ID]],MasterData[],4,0)</f>
        <v>Kg</v>
      </c>
      <c r="J321" s="9">
        <f>VLOOKUP(InputData4[[#This Row],[PRODUCT ID]],MasterData[],5,0)</f>
        <v>89</v>
      </c>
      <c r="K321" s="9">
        <f>VLOOKUP(InputData4[[#This Row],[PRODUCT ID]],MasterData[],6,0)</f>
        <v>117.48</v>
      </c>
      <c r="L321" s="9">
        <f>InputData4[[#This Row],[QUANTITY]]*InputData4[[#This Row],[BUYING PRIZE]]</f>
        <v>801</v>
      </c>
      <c r="M321" s="9">
        <f>InputData4[[#This Row],[QUANTITY]]*InputData4[[#This Row],[SELLING PRICE]]*(1-InputData4[[#This Row],[DISCOUNT %]])</f>
        <v>1057.32</v>
      </c>
      <c r="N321" s="7">
        <f>DAY(InputData4[[#This Row],[DATE]])</f>
        <v>23</v>
      </c>
      <c r="O321" s="7">
        <f>MONTH(InputData4[[#This Row],[DATE]])</f>
        <v>3</v>
      </c>
      <c r="P321" s="7">
        <f>YEAR(InputData4[[#This Row],[DATE]])</f>
        <v>2022</v>
      </c>
    </row>
    <row r="322" spans="1:16" x14ac:dyDescent="0.3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  <c r="G322" t="str">
        <f>VLOOKUP(InputData4[[#This Row],[PRODUCT ID]],MasterData[],2,0)</f>
        <v>Product01</v>
      </c>
      <c r="H322" t="str">
        <f>VLOOKUP(InputData4[[#This Row],[PRODUCT ID]],MasterData[],3,0)</f>
        <v>Category01</v>
      </c>
      <c r="I322" t="str">
        <f>VLOOKUP(InputData4[[#This Row],[PRODUCT ID]],MasterData[],4,0)</f>
        <v>Kg</v>
      </c>
      <c r="J322" s="9">
        <f>VLOOKUP(InputData4[[#This Row],[PRODUCT ID]],MasterData[],5,0)</f>
        <v>98</v>
      </c>
      <c r="K322" s="9">
        <f>VLOOKUP(InputData4[[#This Row],[PRODUCT ID]],MasterData[],6,0)</f>
        <v>103.88</v>
      </c>
      <c r="L322" s="9">
        <f>InputData4[[#This Row],[QUANTITY]]*InputData4[[#This Row],[BUYING PRIZE]]</f>
        <v>196</v>
      </c>
      <c r="M322" s="9">
        <f>InputData4[[#This Row],[QUANTITY]]*InputData4[[#This Row],[SELLING PRICE]]*(1-InputData4[[#This Row],[DISCOUNT %]])</f>
        <v>207.76</v>
      </c>
      <c r="N322" s="7">
        <f>DAY(InputData4[[#This Row],[DATE]])</f>
        <v>25</v>
      </c>
      <c r="O322" s="7">
        <f>MONTH(InputData4[[#This Row],[DATE]])</f>
        <v>3</v>
      </c>
      <c r="P322" s="7">
        <f>YEAR(InputData4[[#This Row],[DATE]])</f>
        <v>2022</v>
      </c>
    </row>
    <row r="323" spans="1:16" x14ac:dyDescent="0.3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  <c r="G323" t="str">
        <f>VLOOKUP(InputData4[[#This Row],[PRODUCT ID]],MasterData[],2,0)</f>
        <v>Product30</v>
      </c>
      <c r="H323" t="str">
        <f>VLOOKUP(InputData4[[#This Row],[PRODUCT ID]],MasterData[],3,0)</f>
        <v>Category04</v>
      </c>
      <c r="I323" t="str">
        <f>VLOOKUP(InputData4[[#This Row],[PRODUCT ID]],MasterData[],4,0)</f>
        <v>Ft</v>
      </c>
      <c r="J323" s="9">
        <f>VLOOKUP(InputData4[[#This Row],[PRODUCT ID]],MasterData[],5,0)</f>
        <v>148</v>
      </c>
      <c r="K323" s="9">
        <f>VLOOKUP(InputData4[[#This Row],[PRODUCT ID]],MasterData[],6,0)</f>
        <v>201.28</v>
      </c>
      <c r="L323" s="9">
        <f>InputData4[[#This Row],[QUANTITY]]*InputData4[[#This Row],[BUYING PRIZE]]</f>
        <v>1628</v>
      </c>
      <c r="M323" s="9">
        <f>InputData4[[#This Row],[QUANTITY]]*InputData4[[#This Row],[SELLING PRICE]]*(1-InputData4[[#This Row],[DISCOUNT %]])</f>
        <v>2214.08</v>
      </c>
      <c r="N323" s="7">
        <f>DAY(InputData4[[#This Row],[DATE]])</f>
        <v>25</v>
      </c>
      <c r="O323" s="7">
        <f>MONTH(InputData4[[#This Row],[DATE]])</f>
        <v>3</v>
      </c>
      <c r="P323" s="7">
        <f>YEAR(InputData4[[#This Row],[DATE]])</f>
        <v>2022</v>
      </c>
    </row>
    <row r="324" spans="1:16" x14ac:dyDescent="0.3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  <c r="G324" t="str">
        <f>VLOOKUP(InputData4[[#This Row],[PRODUCT ID]],MasterData[],2,0)</f>
        <v>Product32</v>
      </c>
      <c r="H324" t="str">
        <f>VLOOKUP(InputData4[[#This Row],[PRODUCT ID]],MasterData[],3,0)</f>
        <v>Category04</v>
      </c>
      <c r="I324" t="str">
        <f>VLOOKUP(InputData4[[#This Row],[PRODUCT ID]],MasterData[],4,0)</f>
        <v>Kg</v>
      </c>
      <c r="J324" s="9">
        <f>VLOOKUP(InputData4[[#This Row],[PRODUCT ID]],MasterData[],5,0)</f>
        <v>89</v>
      </c>
      <c r="K324" s="9">
        <f>VLOOKUP(InputData4[[#This Row],[PRODUCT ID]],MasterData[],6,0)</f>
        <v>117.48</v>
      </c>
      <c r="L324" s="9">
        <f>InputData4[[#This Row],[QUANTITY]]*InputData4[[#This Row],[BUYING PRIZE]]</f>
        <v>1068</v>
      </c>
      <c r="M324" s="9">
        <f>InputData4[[#This Row],[QUANTITY]]*InputData4[[#This Row],[SELLING PRICE]]*(1-InputData4[[#This Row],[DISCOUNT %]])</f>
        <v>1409.76</v>
      </c>
      <c r="N324" s="7">
        <f>DAY(InputData4[[#This Row],[DATE]])</f>
        <v>29</v>
      </c>
      <c r="O324" s="7">
        <f>MONTH(InputData4[[#This Row],[DATE]])</f>
        <v>3</v>
      </c>
      <c r="P324" s="7">
        <f>YEAR(InputData4[[#This Row],[DATE]])</f>
        <v>2022</v>
      </c>
    </row>
    <row r="325" spans="1:16" x14ac:dyDescent="0.3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  <c r="G325" t="str">
        <f>VLOOKUP(InputData4[[#This Row],[PRODUCT ID]],MasterData[],2,0)</f>
        <v>Product01</v>
      </c>
      <c r="H325" t="str">
        <f>VLOOKUP(InputData4[[#This Row],[PRODUCT ID]],MasterData[],3,0)</f>
        <v>Category01</v>
      </c>
      <c r="I325" t="str">
        <f>VLOOKUP(InputData4[[#This Row],[PRODUCT ID]],MasterData[],4,0)</f>
        <v>Kg</v>
      </c>
      <c r="J325" s="9">
        <f>VLOOKUP(InputData4[[#This Row],[PRODUCT ID]],MasterData[],5,0)</f>
        <v>98</v>
      </c>
      <c r="K325" s="9">
        <f>VLOOKUP(InputData4[[#This Row],[PRODUCT ID]],MasterData[],6,0)</f>
        <v>103.88</v>
      </c>
      <c r="L325" s="9">
        <f>InputData4[[#This Row],[QUANTITY]]*InputData4[[#This Row],[BUYING PRIZE]]</f>
        <v>1274</v>
      </c>
      <c r="M325" s="9">
        <f>InputData4[[#This Row],[QUANTITY]]*InputData4[[#This Row],[SELLING PRICE]]*(1-InputData4[[#This Row],[DISCOUNT %]])</f>
        <v>1350.44</v>
      </c>
      <c r="N325" s="7">
        <f>DAY(InputData4[[#This Row],[DATE]])</f>
        <v>30</v>
      </c>
      <c r="O325" s="7">
        <f>MONTH(InputData4[[#This Row],[DATE]])</f>
        <v>3</v>
      </c>
      <c r="P325" s="7">
        <f>YEAR(InputData4[[#This Row],[DATE]])</f>
        <v>2022</v>
      </c>
    </row>
    <row r="326" spans="1:16" x14ac:dyDescent="0.3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  <c r="G326" t="str">
        <f>VLOOKUP(InputData4[[#This Row],[PRODUCT ID]],MasterData[],2,0)</f>
        <v>Product02</v>
      </c>
      <c r="H326" t="str">
        <f>VLOOKUP(InputData4[[#This Row],[PRODUCT ID]],MasterData[],3,0)</f>
        <v>Category01</v>
      </c>
      <c r="I326" t="str">
        <f>VLOOKUP(InputData4[[#This Row],[PRODUCT ID]],MasterData[],4,0)</f>
        <v>Kg</v>
      </c>
      <c r="J326" s="9">
        <f>VLOOKUP(InputData4[[#This Row],[PRODUCT ID]],MasterData[],5,0)</f>
        <v>105</v>
      </c>
      <c r="K326" s="9">
        <f>VLOOKUP(InputData4[[#This Row],[PRODUCT ID]],MasterData[],6,0)</f>
        <v>142.80000000000001</v>
      </c>
      <c r="L326" s="9">
        <f>InputData4[[#This Row],[QUANTITY]]*InputData4[[#This Row],[BUYING PRIZE]]</f>
        <v>210</v>
      </c>
      <c r="M326" s="9">
        <f>InputData4[[#This Row],[QUANTITY]]*InputData4[[#This Row],[SELLING PRICE]]*(1-InputData4[[#This Row],[DISCOUNT %]])</f>
        <v>285.60000000000002</v>
      </c>
      <c r="N326" s="7">
        <f>DAY(InputData4[[#This Row],[DATE]])</f>
        <v>1</v>
      </c>
      <c r="O326" s="7">
        <f>MONTH(InputData4[[#This Row],[DATE]])</f>
        <v>4</v>
      </c>
      <c r="P326" s="7">
        <f>YEAR(InputData4[[#This Row],[DATE]])</f>
        <v>2022</v>
      </c>
    </row>
    <row r="327" spans="1:16" x14ac:dyDescent="0.3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  <c r="G327" t="str">
        <f>VLOOKUP(InputData4[[#This Row],[PRODUCT ID]],MasterData[],2,0)</f>
        <v>Product02</v>
      </c>
      <c r="H327" t="str">
        <f>VLOOKUP(InputData4[[#This Row],[PRODUCT ID]],MasterData[],3,0)</f>
        <v>Category01</v>
      </c>
      <c r="I327" t="str">
        <f>VLOOKUP(InputData4[[#This Row],[PRODUCT ID]],MasterData[],4,0)</f>
        <v>Kg</v>
      </c>
      <c r="J327" s="9">
        <f>VLOOKUP(InputData4[[#This Row],[PRODUCT ID]],MasterData[],5,0)</f>
        <v>105</v>
      </c>
      <c r="K327" s="9">
        <f>VLOOKUP(InputData4[[#This Row],[PRODUCT ID]],MasterData[],6,0)</f>
        <v>142.80000000000001</v>
      </c>
      <c r="L327" s="9">
        <f>InputData4[[#This Row],[QUANTITY]]*InputData4[[#This Row],[BUYING PRIZE]]</f>
        <v>315</v>
      </c>
      <c r="M327" s="9">
        <f>InputData4[[#This Row],[QUANTITY]]*InputData4[[#This Row],[SELLING PRICE]]*(1-InputData4[[#This Row],[DISCOUNT %]])</f>
        <v>428.40000000000003</v>
      </c>
      <c r="N327" s="7">
        <f>DAY(InputData4[[#This Row],[DATE]])</f>
        <v>2</v>
      </c>
      <c r="O327" s="7">
        <f>MONTH(InputData4[[#This Row],[DATE]])</f>
        <v>4</v>
      </c>
      <c r="P327" s="7">
        <f>YEAR(InputData4[[#This Row],[DATE]])</f>
        <v>2022</v>
      </c>
    </row>
    <row r="328" spans="1:16" x14ac:dyDescent="0.3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  <c r="G328" t="str">
        <f>VLOOKUP(InputData4[[#This Row],[PRODUCT ID]],MasterData[],2,0)</f>
        <v>Product40</v>
      </c>
      <c r="H328" t="str">
        <f>VLOOKUP(InputData4[[#This Row],[PRODUCT ID]],MasterData[],3,0)</f>
        <v>Category05</v>
      </c>
      <c r="I328" t="str">
        <f>VLOOKUP(InputData4[[#This Row],[PRODUCT ID]],MasterData[],4,0)</f>
        <v>Kg</v>
      </c>
      <c r="J328" s="9">
        <f>VLOOKUP(InputData4[[#This Row],[PRODUCT ID]],MasterData[],5,0)</f>
        <v>90</v>
      </c>
      <c r="K328" s="9">
        <f>VLOOKUP(InputData4[[#This Row],[PRODUCT ID]],MasterData[],6,0)</f>
        <v>115.2</v>
      </c>
      <c r="L328" s="9">
        <f>InputData4[[#This Row],[QUANTITY]]*InputData4[[#This Row],[BUYING PRIZE]]</f>
        <v>180</v>
      </c>
      <c r="M328" s="9">
        <f>InputData4[[#This Row],[QUANTITY]]*InputData4[[#This Row],[SELLING PRICE]]*(1-InputData4[[#This Row],[DISCOUNT %]])</f>
        <v>230.4</v>
      </c>
      <c r="N328" s="7">
        <f>DAY(InputData4[[#This Row],[DATE]])</f>
        <v>6</v>
      </c>
      <c r="O328" s="7">
        <f>MONTH(InputData4[[#This Row],[DATE]])</f>
        <v>4</v>
      </c>
      <c r="P328" s="7">
        <f>YEAR(InputData4[[#This Row],[DATE]])</f>
        <v>2022</v>
      </c>
    </row>
    <row r="329" spans="1:16" x14ac:dyDescent="0.3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  <c r="G329" t="str">
        <f>VLOOKUP(InputData4[[#This Row],[PRODUCT ID]],MasterData[],2,0)</f>
        <v>Product26</v>
      </c>
      <c r="H329" t="str">
        <f>VLOOKUP(InputData4[[#This Row],[PRODUCT ID]],MasterData[],3,0)</f>
        <v>Category04</v>
      </c>
      <c r="I329" t="str">
        <f>VLOOKUP(InputData4[[#This Row],[PRODUCT ID]],MasterData[],4,0)</f>
        <v>No.</v>
      </c>
      <c r="J329" s="9">
        <f>VLOOKUP(InputData4[[#This Row],[PRODUCT ID]],MasterData[],5,0)</f>
        <v>18</v>
      </c>
      <c r="K329" s="9">
        <f>VLOOKUP(InputData4[[#This Row],[PRODUCT ID]],MasterData[],6,0)</f>
        <v>24.66</v>
      </c>
      <c r="L329" s="9">
        <f>InputData4[[#This Row],[QUANTITY]]*InputData4[[#This Row],[BUYING PRIZE]]</f>
        <v>126</v>
      </c>
      <c r="M329" s="9">
        <f>InputData4[[#This Row],[QUANTITY]]*InputData4[[#This Row],[SELLING PRICE]]*(1-InputData4[[#This Row],[DISCOUNT %]])</f>
        <v>172.62</v>
      </c>
      <c r="N329" s="7">
        <f>DAY(InputData4[[#This Row],[DATE]])</f>
        <v>7</v>
      </c>
      <c r="O329" s="7">
        <f>MONTH(InputData4[[#This Row],[DATE]])</f>
        <v>4</v>
      </c>
      <c r="P329" s="7">
        <f>YEAR(InputData4[[#This Row],[DATE]])</f>
        <v>2022</v>
      </c>
    </row>
    <row r="330" spans="1:16" x14ac:dyDescent="0.3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  <c r="G330" t="str">
        <f>VLOOKUP(InputData4[[#This Row],[PRODUCT ID]],MasterData[],2,0)</f>
        <v>Product39</v>
      </c>
      <c r="H330" t="str">
        <f>VLOOKUP(InputData4[[#This Row],[PRODUCT ID]],MasterData[],3,0)</f>
        <v>Category05</v>
      </c>
      <c r="I330" t="str">
        <f>VLOOKUP(InputData4[[#This Row],[PRODUCT ID]],MasterData[],4,0)</f>
        <v>No.</v>
      </c>
      <c r="J330" s="9">
        <f>VLOOKUP(InputData4[[#This Row],[PRODUCT ID]],MasterData[],5,0)</f>
        <v>37</v>
      </c>
      <c r="K330" s="9">
        <f>VLOOKUP(InputData4[[#This Row],[PRODUCT ID]],MasterData[],6,0)</f>
        <v>42.55</v>
      </c>
      <c r="L330" s="9">
        <f>InputData4[[#This Row],[QUANTITY]]*InputData4[[#This Row],[BUYING PRIZE]]</f>
        <v>444</v>
      </c>
      <c r="M330" s="9">
        <f>InputData4[[#This Row],[QUANTITY]]*InputData4[[#This Row],[SELLING PRICE]]*(1-InputData4[[#This Row],[DISCOUNT %]])</f>
        <v>510.59999999999997</v>
      </c>
      <c r="N330" s="7">
        <f>DAY(InputData4[[#This Row],[DATE]])</f>
        <v>9</v>
      </c>
      <c r="O330" s="7">
        <f>MONTH(InputData4[[#This Row],[DATE]])</f>
        <v>4</v>
      </c>
      <c r="P330" s="7">
        <f>YEAR(InputData4[[#This Row],[DATE]])</f>
        <v>2022</v>
      </c>
    </row>
    <row r="331" spans="1:16" x14ac:dyDescent="0.3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  <c r="G331" t="str">
        <f>VLOOKUP(InputData4[[#This Row],[PRODUCT ID]],MasterData[],2,0)</f>
        <v>Product02</v>
      </c>
      <c r="H331" t="str">
        <f>VLOOKUP(InputData4[[#This Row],[PRODUCT ID]],MasterData[],3,0)</f>
        <v>Category01</v>
      </c>
      <c r="I331" t="str">
        <f>VLOOKUP(InputData4[[#This Row],[PRODUCT ID]],MasterData[],4,0)</f>
        <v>Kg</v>
      </c>
      <c r="J331" s="9">
        <f>VLOOKUP(InputData4[[#This Row],[PRODUCT ID]],MasterData[],5,0)</f>
        <v>105</v>
      </c>
      <c r="K331" s="9">
        <f>VLOOKUP(InputData4[[#This Row],[PRODUCT ID]],MasterData[],6,0)</f>
        <v>142.80000000000001</v>
      </c>
      <c r="L331" s="9">
        <f>InputData4[[#This Row],[QUANTITY]]*InputData4[[#This Row],[BUYING PRIZE]]</f>
        <v>945</v>
      </c>
      <c r="M331" s="9">
        <f>InputData4[[#This Row],[QUANTITY]]*InputData4[[#This Row],[SELLING PRICE]]*(1-InputData4[[#This Row],[DISCOUNT %]])</f>
        <v>1285.2</v>
      </c>
      <c r="N331" s="7">
        <f>DAY(InputData4[[#This Row],[DATE]])</f>
        <v>9</v>
      </c>
      <c r="O331" s="7">
        <f>MONTH(InputData4[[#This Row],[DATE]])</f>
        <v>4</v>
      </c>
      <c r="P331" s="7">
        <f>YEAR(InputData4[[#This Row],[DATE]])</f>
        <v>2022</v>
      </c>
    </row>
    <row r="332" spans="1:16" x14ac:dyDescent="0.3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  <c r="G332" t="str">
        <f>VLOOKUP(InputData4[[#This Row],[PRODUCT ID]],MasterData[],2,0)</f>
        <v>Product16</v>
      </c>
      <c r="H332" t="str">
        <f>VLOOKUP(InputData4[[#This Row],[PRODUCT ID]],MasterData[],3,0)</f>
        <v>Category02</v>
      </c>
      <c r="I332" t="str">
        <f>VLOOKUP(InputData4[[#This Row],[PRODUCT ID]],MasterData[],4,0)</f>
        <v>No.</v>
      </c>
      <c r="J332" s="9">
        <f>VLOOKUP(InputData4[[#This Row],[PRODUCT ID]],MasterData[],5,0)</f>
        <v>13</v>
      </c>
      <c r="K332" s="9">
        <f>VLOOKUP(InputData4[[#This Row],[PRODUCT ID]],MasterData[],6,0)</f>
        <v>16.64</v>
      </c>
      <c r="L332" s="9">
        <f>InputData4[[#This Row],[QUANTITY]]*InputData4[[#This Row],[BUYING PRIZE]]</f>
        <v>182</v>
      </c>
      <c r="M332" s="9">
        <f>InputData4[[#This Row],[QUANTITY]]*InputData4[[#This Row],[SELLING PRICE]]*(1-InputData4[[#This Row],[DISCOUNT %]])</f>
        <v>232.96</v>
      </c>
      <c r="N332" s="7">
        <f>DAY(InputData4[[#This Row],[DATE]])</f>
        <v>13</v>
      </c>
      <c r="O332" s="7">
        <f>MONTH(InputData4[[#This Row],[DATE]])</f>
        <v>4</v>
      </c>
      <c r="P332" s="7">
        <f>YEAR(InputData4[[#This Row],[DATE]])</f>
        <v>2022</v>
      </c>
    </row>
    <row r="333" spans="1:16" x14ac:dyDescent="0.3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  <c r="G333" t="str">
        <f>VLOOKUP(InputData4[[#This Row],[PRODUCT ID]],MasterData[],2,0)</f>
        <v>Product41</v>
      </c>
      <c r="H333" t="str">
        <f>VLOOKUP(InputData4[[#This Row],[PRODUCT ID]],MasterData[],3,0)</f>
        <v>Category05</v>
      </c>
      <c r="I333" t="str">
        <f>VLOOKUP(InputData4[[#This Row],[PRODUCT ID]],MasterData[],4,0)</f>
        <v>Ft</v>
      </c>
      <c r="J333" s="9">
        <f>VLOOKUP(InputData4[[#This Row],[PRODUCT ID]],MasterData[],5,0)</f>
        <v>138</v>
      </c>
      <c r="K333" s="9">
        <f>VLOOKUP(InputData4[[#This Row],[PRODUCT ID]],MasterData[],6,0)</f>
        <v>173.88</v>
      </c>
      <c r="L333" s="9">
        <f>InputData4[[#This Row],[QUANTITY]]*InputData4[[#This Row],[BUYING PRIZE]]</f>
        <v>1242</v>
      </c>
      <c r="M333" s="9">
        <f>InputData4[[#This Row],[QUANTITY]]*InputData4[[#This Row],[SELLING PRICE]]*(1-InputData4[[#This Row],[DISCOUNT %]])</f>
        <v>1564.92</v>
      </c>
      <c r="N333" s="7">
        <f>DAY(InputData4[[#This Row],[DATE]])</f>
        <v>18</v>
      </c>
      <c r="O333" s="7">
        <f>MONTH(InputData4[[#This Row],[DATE]])</f>
        <v>4</v>
      </c>
      <c r="P333" s="7">
        <f>YEAR(InputData4[[#This Row],[DATE]])</f>
        <v>2022</v>
      </c>
    </row>
    <row r="334" spans="1:16" x14ac:dyDescent="0.3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  <c r="G334" t="str">
        <f>VLOOKUP(InputData4[[#This Row],[PRODUCT ID]],MasterData[],2,0)</f>
        <v>Product18</v>
      </c>
      <c r="H334" t="str">
        <f>VLOOKUP(InputData4[[#This Row],[PRODUCT ID]],MasterData[],3,0)</f>
        <v>Category02</v>
      </c>
      <c r="I334" t="str">
        <f>VLOOKUP(InputData4[[#This Row],[PRODUCT ID]],MasterData[],4,0)</f>
        <v>No.</v>
      </c>
      <c r="J334" s="9">
        <f>VLOOKUP(InputData4[[#This Row],[PRODUCT ID]],MasterData[],5,0)</f>
        <v>37</v>
      </c>
      <c r="K334" s="9">
        <f>VLOOKUP(InputData4[[#This Row],[PRODUCT ID]],MasterData[],6,0)</f>
        <v>49.21</v>
      </c>
      <c r="L334" s="9">
        <f>InputData4[[#This Row],[QUANTITY]]*InputData4[[#This Row],[BUYING PRIZE]]</f>
        <v>74</v>
      </c>
      <c r="M334" s="9">
        <f>InputData4[[#This Row],[QUANTITY]]*InputData4[[#This Row],[SELLING PRICE]]*(1-InputData4[[#This Row],[DISCOUNT %]])</f>
        <v>98.42</v>
      </c>
      <c r="N334" s="7">
        <f>DAY(InputData4[[#This Row],[DATE]])</f>
        <v>20</v>
      </c>
      <c r="O334" s="7">
        <f>MONTH(InputData4[[#This Row],[DATE]])</f>
        <v>4</v>
      </c>
      <c r="P334" s="7">
        <f>YEAR(InputData4[[#This Row],[DATE]])</f>
        <v>2022</v>
      </c>
    </row>
    <row r="335" spans="1:16" x14ac:dyDescent="0.3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  <c r="G335" t="str">
        <f>VLOOKUP(InputData4[[#This Row],[PRODUCT ID]],MasterData[],2,0)</f>
        <v>Product12</v>
      </c>
      <c r="H335" t="str">
        <f>VLOOKUP(InputData4[[#This Row],[PRODUCT ID]],MasterData[],3,0)</f>
        <v>Category02</v>
      </c>
      <c r="I335" t="str">
        <f>VLOOKUP(InputData4[[#This Row],[PRODUCT ID]],MasterData[],4,0)</f>
        <v>Kg</v>
      </c>
      <c r="J335" s="9">
        <f>VLOOKUP(InputData4[[#This Row],[PRODUCT ID]],MasterData[],5,0)</f>
        <v>73</v>
      </c>
      <c r="K335" s="9">
        <f>VLOOKUP(InputData4[[#This Row],[PRODUCT ID]],MasterData[],6,0)</f>
        <v>94.17</v>
      </c>
      <c r="L335" s="9">
        <f>InputData4[[#This Row],[QUANTITY]]*InputData4[[#This Row],[BUYING PRIZE]]</f>
        <v>292</v>
      </c>
      <c r="M335" s="9">
        <f>InputData4[[#This Row],[QUANTITY]]*InputData4[[#This Row],[SELLING PRICE]]*(1-InputData4[[#This Row],[DISCOUNT %]])</f>
        <v>376.68</v>
      </c>
      <c r="N335" s="7">
        <f>DAY(InputData4[[#This Row],[DATE]])</f>
        <v>20</v>
      </c>
      <c r="O335" s="7">
        <f>MONTH(InputData4[[#This Row],[DATE]])</f>
        <v>4</v>
      </c>
      <c r="P335" s="7">
        <f>YEAR(InputData4[[#This Row],[DATE]])</f>
        <v>2022</v>
      </c>
    </row>
    <row r="336" spans="1:16" x14ac:dyDescent="0.3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  <c r="G336" t="str">
        <f>VLOOKUP(InputData4[[#This Row],[PRODUCT ID]],MasterData[],2,0)</f>
        <v>Product30</v>
      </c>
      <c r="H336" t="str">
        <f>VLOOKUP(InputData4[[#This Row],[PRODUCT ID]],MasterData[],3,0)</f>
        <v>Category04</v>
      </c>
      <c r="I336" t="str">
        <f>VLOOKUP(InputData4[[#This Row],[PRODUCT ID]],MasterData[],4,0)</f>
        <v>Ft</v>
      </c>
      <c r="J336" s="9">
        <f>VLOOKUP(InputData4[[#This Row],[PRODUCT ID]],MasterData[],5,0)</f>
        <v>148</v>
      </c>
      <c r="K336" s="9">
        <f>VLOOKUP(InputData4[[#This Row],[PRODUCT ID]],MasterData[],6,0)</f>
        <v>201.28</v>
      </c>
      <c r="L336" s="9">
        <f>InputData4[[#This Row],[QUANTITY]]*InputData4[[#This Row],[BUYING PRIZE]]</f>
        <v>296</v>
      </c>
      <c r="M336" s="9">
        <f>InputData4[[#This Row],[QUANTITY]]*InputData4[[#This Row],[SELLING PRICE]]*(1-InputData4[[#This Row],[DISCOUNT %]])</f>
        <v>402.56</v>
      </c>
      <c r="N336" s="7">
        <f>DAY(InputData4[[#This Row],[DATE]])</f>
        <v>21</v>
      </c>
      <c r="O336" s="7">
        <f>MONTH(InputData4[[#This Row],[DATE]])</f>
        <v>4</v>
      </c>
      <c r="P336" s="7">
        <f>YEAR(InputData4[[#This Row],[DATE]])</f>
        <v>2022</v>
      </c>
    </row>
    <row r="337" spans="1:16" x14ac:dyDescent="0.3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  <c r="G337" t="str">
        <f>VLOOKUP(InputData4[[#This Row],[PRODUCT ID]],MasterData[],2,0)</f>
        <v>Product26</v>
      </c>
      <c r="H337" t="str">
        <f>VLOOKUP(InputData4[[#This Row],[PRODUCT ID]],MasterData[],3,0)</f>
        <v>Category04</v>
      </c>
      <c r="I337" t="str">
        <f>VLOOKUP(InputData4[[#This Row],[PRODUCT ID]],MasterData[],4,0)</f>
        <v>No.</v>
      </c>
      <c r="J337" s="9">
        <f>VLOOKUP(InputData4[[#This Row],[PRODUCT ID]],MasterData[],5,0)</f>
        <v>18</v>
      </c>
      <c r="K337" s="9">
        <f>VLOOKUP(InputData4[[#This Row],[PRODUCT ID]],MasterData[],6,0)</f>
        <v>24.66</v>
      </c>
      <c r="L337" s="9">
        <f>InputData4[[#This Row],[QUANTITY]]*InputData4[[#This Row],[BUYING PRIZE]]</f>
        <v>252</v>
      </c>
      <c r="M337" s="9">
        <f>InputData4[[#This Row],[QUANTITY]]*InputData4[[#This Row],[SELLING PRICE]]*(1-InputData4[[#This Row],[DISCOUNT %]])</f>
        <v>345.24</v>
      </c>
      <c r="N337" s="7">
        <f>DAY(InputData4[[#This Row],[DATE]])</f>
        <v>21</v>
      </c>
      <c r="O337" s="7">
        <f>MONTH(InputData4[[#This Row],[DATE]])</f>
        <v>4</v>
      </c>
      <c r="P337" s="7">
        <f>YEAR(InputData4[[#This Row],[DATE]])</f>
        <v>2022</v>
      </c>
    </row>
    <row r="338" spans="1:16" x14ac:dyDescent="0.3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  <c r="G338" t="str">
        <f>VLOOKUP(InputData4[[#This Row],[PRODUCT ID]],MasterData[],2,0)</f>
        <v>Product44</v>
      </c>
      <c r="H338" t="str">
        <f>VLOOKUP(InputData4[[#This Row],[PRODUCT ID]],MasterData[],3,0)</f>
        <v>Category05</v>
      </c>
      <c r="I338" t="str">
        <f>VLOOKUP(InputData4[[#This Row],[PRODUCT ID]],MasterData[],4,0)</f>
        <v>Kg</v>
      </c>
      <c r="J338" s="9">
        <f>VLOOKUP(InputData4[[#This Row],[PRODUCT ID]],MasterData[],5,0)</f>
        <v>76</v>
      </c>
      <c r="K338" s="9">
        <f>VLOOKUP(InputData4[[#This Row],[PRODUCT ID]],MasterData[],6,0)</f>
        <v>82.08</v>
      </c>
      <c r="L338" s="9">
        <f>InputData4[[#This Row],[QUANTITY]]*InputData4[[#This Row],[BUYING PRIZE]]</f>
        <v>1140</v>
      </c>
      <c r="M338" s="9">
        <f>InputData4[[#This Row],[QUANTITY]]*InputData4[[#This Row],[SELLING PRICE]]*(1-InputData4[[#This Row],[DISCOUNT %]])</f>
        <v>1231.2</v>
      </c>
      <c r="N338" s="7">
        <f>DAY(InputData4[[#This Row],[DATE]])</f>
        <v>23</v>
      </c>
      <c r="O338" s="7">
        <f>MONTH(InputData4[[#This Row],[DATE]])</f>
        <v>4</v>
      </c>
      <c r="P338" s="7">
        <f>YEAR(InputData4[[#This Row],[DATE]])</f>
        <v>2022</v>
      </c>
    </row>
    <row r="339" spans="1:16" x14ac:dyDescent="0.3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  <c r="G339" t="str">
        <f>VLOOKUP(InputData4[[#This Row],[PRODUCT ID]],MasterData[],2,0)</f>
        <v>Product34</v>
      </c>
      <c r="H339" t="str">
        <f>VLOOKUP(InputData4[[#This Row],[PRODUCT ID]],MasterData[],3,0)</f>
        <v>Category04</v>
      </c>
      <c r="I339" t="str">
        <f>VLOOKUP(InputData4[[#This Row],[PRODUCT ID]],MasterData[],4,0)</f>
        <v>Lt</v>
      </c>
      <c r="J339" s="9">
        <f>VLOOKUP(InputData4[[#This Row],[PRODUCT ID]],MasterData[],5,0)</f>
        <v>55</v>
      </c>
      <c r="K339" s="9">
        <f>VLOOKUP(InputData4[[#This Row],[PRODUCT ID]],MasterData[],6,0)</f>
        <v>58.3</v>
      </c>
      <c r="L339" s="9">
        <f>InputData4[[#This Row],[QUANTITY]]*InputData4[[#This Row],[BUYING PRIZE]]</f>
        <v>220</v>
      </c>
      <c r="M339" s="9">
        <f>InputData4[[#This Row],[QUANTITY]]*InputData4[[#This Row],[SELLING PRICE]]*(1-InputData4[[#This Row],[DISCOUNT %]])</f>
        <v>233.2</v>
      </c>
      <c r="N339" s="7">
        <f>DAY(InputData4[[#This Row],[DATE]])</f>
        <v>24</v>
      </c>
      <c r="O339" s="7">
        <f>MONTH(InputData4[[#This Row],[DATE]])</f>
        <v>4</v>
      </c>
      <c r="P339" s="7">
        <f>YEAR(InputData4[[#This Row],[DATE]])</f>
        <v>2022</v>
      </c>
    </row>
    <row r="340" spans="1:16" x14ac:dyDescent="0.3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  <c r="G340" t="str">
        <f>VLOOKUP(InputData4[[#This Row],[PRODUCT ID]],MasterData[],2,0)</f>
        <v>Product04</v>
      </c>
      <c r="H340" t="str">
        <f>VLOOKUP(InputData4[[#This Row],[PRODUCT ID]],MasterData[],3,0)</f>
        <v>Category01</v>
      </c>
      <c r="I340" t="str">
        <f>VLOOKUP(InputData4[[#This Row],[PRODUCT ID]],MasterData[],4,0)</f>
        <v>Lt</v>
      </c>
      <c r="J340" s="9">
        <f>VLOOKUP(InputData4[[#This Row],[PRODUCT ID]],MasterData[],5,0)</f>
        <v>44</v>
      </c>
      <c r="K340" s="9">
        <f>VLOOKUP(InputData4[[#This Row],[PRODUCT ID]],MasterData[],6,0)</f>
        <v>48.84</v>
      </c>
      <c r="L340" s="9">
        <f>InputData4[[#This Row],[QUANTITY]]*InputData4[[#This Row],[BUYING PRIZE]]</f>
        <v>396</v>
      </c>
      <c r="M340" s="9">
        <f>InputData4[[#This Row],[QUANTITY]]*InputData4[[#This Row],[SELLING PRICE]]*(1-InputData4[[#This Row],[DISCOUNT %]])</f>
        <v>439.56000000000006</v>
      </c>
      <c r="N340" s="7">
        <f>DAY(InputData4[[#This Row],[DATE]])</f>
        <v>25</v>
      </c>
      <c r="O340" s="7">
        <f>MONTH(InputData4[[#This Row],[DATE]])</f>
        <v>4</v>
      </c>
      <c r="P340" s="7">
        <f>YEAR(InputData4[[#This Row],[DATE]])</f>
        <v>2022</v>
      </c>
    </row>
    <row r="341" spans="1:16" x14ac:dyDescent="0.3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  <c r="G341" t="str">
        <f>VLOOKUP(InputData4[[#This Row],[PRODUCT ID]],MasterData[],2,0)</f>
        <v>Product03</v>
      </c>
      <c r="H341" t="str">
        <f>VLOOKUP(InputData4[[#This Row],[PRODUCT ID]],MasterData[],3,0)</f>
        <v>Category01</v>
      </c>
      <c r="I341" t="str">
        <f>VLOOKUP(InputData4[[#This Row],[PRODUCT ID]],MasterData[],4,0)</f>
        <v>Kg</v>
      </c>
      <c r="J341" s="9">
        <f>VLOOKUP(InputData4[[#This Row],[PRODUCT ID]],MasterData[],5,0)</f>
        <v>71</v>
      </c>
      <c r="K341" s="9">
        <f>VLOOKUP(InputData4[[#This Row],[PRODUCT ID]],MasterData[],6,0)</f>
        <v>80.94</v>
      </c>
      <c r="L341" s="9">
        <f>InputData4[[#This Row],[QUANTITY]]*InputData4[[#This Row],[BUYING PRIZE]]</f>
        <v>568</v>
      </c>
      <c r="M341" s="9">
        <f>InputData4[[#This Row],[QUANTITY]]*InputData4[[#This Row],[SELLING PRICE]]*(1-InputData4[[#This Row],[DISCOUNT %]])</f>
        <v>647.52</v>
      </c>
      <c r="N341" s="7">
        <f>DAY(InputData4[[#This Row],[DATE]])</f>
        <v>25</v>
      </c>
      <c r="O341" s="7">
        <f>MONTH(InputData4[[#This Row],[DATE]])</f>
        <v>4</v>
      </c>
      <c r="P341" s="7">
        <f>YEAR(InputData4[[#This Row],[DATE]])</f>
        <v>2022</v>
      </c>
    </row>
    <row r="342" spans="1:16" x14ac:dyDescent="0.3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  <c r="G342" t="str">
        <f>VLOOKUP(InputData4[[#This Row],[PRODUCT ID]],MasterData[],2,0)</f>
        <v>Product27</v>
      </c>
      <c r="H342" t="str">
        <f>VLOOKUP(InputData4[[#This Row],[PRODUCT ID]],MasterData[],3,0)</f>
        <v>Category04</v>
      </c>
      <c r="I342" t="str">
        <f>VLOOKUP(InputData4[[#This Row],[PRODUCT ID]],MasterData[],4,0)</f>
        <v>Lt</v>
      </c>
      <c r="J342" s="9">
        <f>VLOOKUP(InputData4[[#This Row],[PRODUCT ID]],MasterData[],5,0)</f>
        <v>48</v>
      </c>
      <c r="K342" s="9">
        <f>VLOOKUP(InputData4[[#This Row],[PRODUCT ID]],MasterData[],6,0)</f>
        <v>57.120000000000005</v>
      </c>
      <c r="L342" s="9">
        <f>InputData4[[#This Row],[QUANTITY]]*InputData4[[#This Row],[BUYING PRIZE]]</f>
        <v>96</v>
      </c>
      <c r="M342" s="9">
        <f>InputData4[[#This Row],[QUANTITY]]*InputData4[[#This Row],[SELLING PRICE]]*(1-InputData4[[#This Row],[DISCOUNT %]])</f>
        <v>114.24000000000001</v>
      </c>
      <c r="N342" s="7">
        <f>DAY(InputData4[[#This Row],[DATE]])</f>
        <v>26</v>
      </c>
      <c r="O342" s="7">
        <f>MONTH(InputData4[[#This Row],[DATE]])</f>
        <v>4</v>
      </c>
      <c r="P342" s="7">
        <f>YEAR(InputData4[[#This Row],[DATE]])</f>
        <v>2022</v>
      </c>
    </row>
    <row r="343" spans="1:16" x14ac:dyDescent="0.3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  <c r="G343" t="str">
        <f>VLOOKUP(InputData4[[#This Row],[PRODUCT ID]],MasterData[],2,0)</f>
        <v>Product14</v>
      </c>
      <c r="H343" t="str">
        <f>VLOOKUP(InputData4[[#This Row],[PRODUCT ID]],MasterData[],3,0)</f>
        <v>Category02</v>
      </c>
      <c r="I343" t="str">
        <f>VLOOKUP(InputData4[[#This Row],[PRODUCT ID]],MasterData[],4,0)</f>
        <v>Kg</v>
      </c>
      <c r="J343" s="9">
        <f>VLOOKUP(InputData4[[#This Row],[PRODUCT ID]],MasterData[],5,0)</f>
        <v>112</v>
      </c>
      <c r="K343" s="9">
        <f>VLOOKUP(InputData4[[#This Row],[PRODUCT ID]],MasterData[],6,0)</f>
        <v>146.72</v>
      </c>
      <c r="L343" s="9">
        <f>InputData4[[#This Row],[QUANTITY]]*InputData4[[#This Row],[BUYING PRIZE]]</f>
        <v>1568</v>
      </c>
      <c r="M343" s="9">
        <f>InputData4[[#This Row],[QUANTITY]]*InputData4[[#This Row],[SELLING PRICE]]*(1-InputData4[[#This Row],[DISCOUNT %]])</f>
        <v>2054.08</v>
      </c>
      <c r="N343" s="7">
        <f>DAY(InputData4[[#This Row],[DATE]])</f>
        <v>28</v>
      </c>
      <c r="O343" s="7">
        <f>MONTH(InputData4[[#This Row],[DATE]])</f>
        <v>4</v>
      </c>
      <c r="P343" s="7">
        <f>YEAR(InputData4[[#This Row],[DATE]])</f>
        <v>2022</v>
      </c>
    </row>
    <row r="344" spans="1:16" x14ac:dyDescent="0.3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  <c r="G344" t="str">
        <f>VLOOKUP(InputData4[[#This Row],[PRODUCT ID]],MasterData[],2,0)</f>
        <v>Product16</v>
      </c>
      <c r="H344" t="str">
        <f>VLOOKUP(InputData4[[#This Row],[PRODUCT ID]],MasterData[],3,0)</f>
        <v>Category02</v>
      </c>
      <c r="I344" t="str">
        <f>VLOOKUP(InputData4[[#This Row],[PRODUCT ID]],MasterData[],4,0)</f>
        <v>No.</v>
      </c>
      <c r="J344" s="9">
        <f>VLOOKUP(InputData4[[#This Row],[PRODUCT ID]],MasterData[],5,0)</f>
        <v>13</v>
      </c>
      <c r="K344" s="9">
        <f>VLOOKUP(InputData4[[#This Row],[PRODUCT ID]],MasterData[],6,0)</f>
        <v>16.64</v>
      </c>
      <c r="L344" s="9">
        <f>InputData4[[#This Row],[QUANTITY]]*InputData4[[#This Row],[BUYING PRIZE]]</f>
        <v>169</v>
      </c>
      <c r="M344" s="9">
        <f>InputData4[[#This Row],[QUANTITY]]*InputData4[[#This Row],[SELLING PRICE]]*(1-InputData4[[#This Row],[DISCOUNT %]])</f>
        <v>216.32</v>
      </c>
      <c r="N344" s="7">
        <f>DAY(InputData4[[#This Row],[DATE]])</f>
        <v>30</v>
      </c>
      <c r="O344" s="7">
        <f>MONTH(InputData4[[#This Row],[DATE]])</f>
        <v>4</v>
      </c>
      <c r="P344" s="7">
        <f>YEAR(InputData4[[#This Row],[DATE]])</f>
        <v>2022</v>
      </c>
    </row>
    <row r="345" spans="1:16" x14ac:dyDescent="0.3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  <c r="G345" t="str">
        <f>VLOOKUP(InputData4[[#This Row],[PRODUCT ID]],MasterData[],2,0)</f>
        <v>Product27</v>
      </c>
      <c r="H345" t="str">
        <f>VLOOKUP(InputData4[[#This Row],[PRODUCT ID]],MasterData[],3,0)</f>
        <v>Category04</v>
      </c>
      <c r="I345" t="str">
        <f>VLOOKUP(InputData4[[#This Row],[PRODUCT ID]],MasterData[],4,0)</f>
        <v>Lt</v>
      </c>
      <c r="J345" s="9">
        <f>VLOOKUP(InputData4[[#This Row],[PRODUCT ID]],MasterData[],5,0)</f>
        <v>48</v>
      </c>
      <c r="K345" s="9">
        <f>VLOOKUP(InputData4[[#This Row],[PRODUCT ID]],MasterData[],6,0)</f>
        <v>57.120000000000005</v>
      </c>
      <c r="L345" s="9">
        <f>InputData4[[#This Row],[QUANTITY]]*InputData4[[#This Row],[BUYING PRIZE]]</f>
        <v>384</v>
      </c>
      <c r="M345" s="9">
        <f>InputData4[[#This Row],[QUANTITY]]*InputData4[[#This Row],[SELLING PRICE]]*(1-InputData4[[#This Row],[DISCOUNT %]])</f>
        <v>456.96000000000004</v>
      </c>
      <c r="N345" s="7">
        <f>DAY(InputData4[[#This Row],[DATE]])</f>
        <v>30</v>
      </c>
      <c r="O345" s="7">
        <f>MONTH(InputData4[[#This Row],[DATE]])</f>
        <v>4</v>
      </c>
      <c r="P345" s="7">
        <f>YEAR(InputData4[[#This Row],[DATE]])</f>
        <v>2022</v>
      </c>
    </row>
    <row r="346" spans="1:16" x14ac:dyDescent="0.3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  <c r="G346" t="str">
        <f>VLOOKUP(InputData4[[#This Row],[PRODUCT ID]],MasterData[],2,0)</f>
        <v>Product34</v>
      </c>
      <c r="H346" t="str">
        <f>VLOOKUP(InputData4[[#This Row],[PRODUCT ID]],MasterData[],3,0)</f>
        <v>Category04</v>
      </c>
      <c r="I346" t="str">
        <f>VLOOKUP(InputData4[[#This Row],[PRODUCT ID]],MasterData[],4,0)</f>
        <v>Lt</v>
      </c>
      <c r="J346" s="9">
        <f>VLOOKUP(InputData4[[#This Row],[PRODUCT ID]],MasterData[],5,0)</f>
        <v>55</v>
      </c>
      <c r="K346" s="9">
        <f>VLOOKUP(InputData4[[#This Row],[PRODUCT ID]],MasterData[],6,0)</f>
        <v>58.3</v>
      </c>
      <c r="L346" s="9">
        <f>InputData4[[#This Row],[QUANTITY]]*InputData4[[#This Row],[BUYING PRIZE]]</f>
        <v>495</v>
      </c>
      <c r="M346" s="9">
        <f>InputData4[[#This Row],[QUANTITY]]*InputData4[[#This Row],[SELLING PRICE]]*(1-InputData4[[#This Row],[DISCOUNT %]])</f>
        <v>524.69999999999993</v>
      </c>
      <c r="N346" s="7">
        <f>DAY(InputData4[[#This Row],[DATE]])</f>
        <v>1</v>
      </c>
      <c r="O346" s="7">
        <f>MONTH(InputData4[[#This Row],[DATE]])</f>
        <v>5</v>
      </c>
      <c r="P346" s="7">
        <f>YEAR(InputData4[[#This Row],[DATE]])</f>
        <v>2022</v>
      </c>
    </row>
    <row r="347" spans="1:16" x14ac:dyDescent="0.3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  <c r="G347" t="str">
        <f>VLOOKUP(InputData4[[#This Row],[PRODUCT ID]],MasterData[],2,0)</f>
        <v>Product33</v>
      </c>
      <c r="H347" t="str">
        <f>VLOOKUP(InputData4[[#This Row],[PRODUCT ID]],MasterData[],3,0)</f>
        <v>Category04</v>
      </c>
      <c r="I347" t="str">
        <f>VLOOKUP(InputData4[[#This Row],[PRODUCT ID]],MasterData[],4,0)</f>
        <v>Kg</v>
      </c>
      <c r="J347" s="9">
        <f>VLOOKUP(InputData4[[#This Row],[PRODUCT ID]],MasterData[],5,0)</f>
        <v>95</v>
      </c>
      <c r="K347" s="9">
        <f>VLOOKUP(InputData4[[#This Row],[PRODUCT ID]],MasterData[],6,0)</f>
        <v>119.7</v>
      </c>
      <c r="L347" s="9">
        <f>InputData4[[#This Row],[QUANTITY]]*InputData4[[#This Row],[BUYING PRIZE]]</f>
        <v>570</v>
      </c>
      <c r="M347" s="9">
        <f>InputData4[[#This Row],[QUANTITY]]*InputData4[[#This Row],[SELLING PRICE]]*(1-InputData4[[#This Row],[DISCOUNT %]])</f>
        <v>718.2</v>
      </c>
      <c r="N347" s="7">
        <f>DAY(InputData4[[#This Row],[DATE]])</f>
        <v>1</v>
      </c>
      <c r="O347" s="7">
        <f>MONTH(InputData4[[#This Row],[DATE]])</f>
        <v>5</v>
      </c>
      <c r="P347" s="7">
        <f>YEAR(InputData4[[#This Row],[DATE]])</f>
        <v>2022</v>
      </c>
    </row>
    <row r="348" spans="1:16" x14ac:dyDescent="0.3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  <c r="G348" t="str">
        <f>VLOOKUP(InputData4[[#This Row],[PRODUCT ID]],MasterData[],2,0)</f>
        <v>Product13</v>
      </c>
      <c r="H348" t="str">
        <f>VLOOKUP(InputData4[[#This Row],[PRODUCT ID]],MasterData[],3,0)</f>
        <v>Category02</v>
      </c>
      <c r="I348" t="str">
        <f>VLOOKUP(InputData4[[#This Row],[PRODUCT ID]],MasterData[],4,0)</f>
        <v>Kg</v>
      </c>
      <c r="J348" s="9">
        <f>VLOOKUP(InputData4[[#This Row],[PRODUCT ID]],MasterData[],5,0)</f>
        <v>112</v>
      </c>
      <c r="K348" s="9">
        <f>VLOOKUP(InputData4[[#This Row],[PRODUCT ID]],MasterData[],6,0)</f>
        <v>122.08</v>
      </c>
      <c r="L348" s="9">
        <f>InputData4[[#This Row],[QUANTITY]]*InputData4[[#This Row],[BUYING PRIZE]]</f>
        <v>448</v>
      </c>
      <c r="M348" s="9">
        <f>InputData4[[#This Row],[QUANTITY]]*InputData4[[#This Row],[SELLING PRICE]]*(1-InputData4[[#This Row],[DISCOUNT %]])</f>
        <v>488.32</v>
      </c>
      <c r="N348" s="7">
        <f>DAY(InputData4[[#This Row],[DATE]])</f>
        <v>2</v>
      </c>
      <c r="O348" s="7">
        <f>MONTH(InputData4[[#This Row],[DATE]])</f>
        <v>5</v>
      </c>
      <c r="P348" s="7">
        <f>YEAR(InputData4[[#This Row],[DATE]])</f>
        <v>2022</v>
      </c>
    </row>
    <row r="349" spans="1:16" x14ac:dyDescent="0.3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  <c r="G349" t="str">
        <f>VLOOKUP(InputData4[[#This Row],[PRODUCT ID]],MasterData[],2,0)</f>
        <v>Product20</v>
      </c>
      <c r="H349" t="str">
        <f>VLOOKUP(InputData4[[#This Row],[PRODUCT ID]],MasterData[],3,0)</f>
        <v>Category03</v>
      </c>
      <c r="I349" t="str">
        <f>VLOOKUP(InputData4[[#This Row],[PRODUCT ID]],MasterData[],4,0)</f>
        <v>Lt</v>
      </c>
      <c r="J349" s="9">
        <f>VLOOKUP(InputData4[[#This Row],[PRODUCT ID]],MasterData[],5,0)</f>
        <v>61</v>
      </c>
      <c r="K349" s="9">
        <f>VLOOKUP(InputData4[[#This Row],[PRODUCT ID]],MasterData[],6,0)</f>
        <v>76.25</v>
      </c>
      <c r="L349" s="9">
        <f>InputData4[[#This Row],[QUANTITY]]*InputData4[[#This Row],[BUYING PRIZE]]</f>
        <v>610</v>
      </c>
      <c r="M349" s="9">
        <f>InputData4[[#This Row],[QUANTITY]]*InputData4[[#This Row],[SELLING PRICE]]*(1-InputData4[[#This Row],[DISCOUNT %]])</f>
        <v>762.5</v>
      </c>
      <c r="N349" s="7">
        <f>DAY(InputData4[[#This Row],[DATE]])</f>
        <v>4</v>
      </c>
      <c r="O349" s="7">
        <f>MONTH(InputData4[[#This Row],[DATE]])</f>
        <v>5</v>
      </c>
      <c r="P349" s="7">
        <f>YEAR(InputData4[[#This Row],[DATE]])</f>
        <v>2022</v>
      </c>
    </row>
    <row r="350" spans="1:16" x14ac:dyDescent="0.3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  <c r="G350" t="str">
        <f>VLOOKUP(InputData4[[#This Row],[PRODUCT ID]],MasterData[],2,0)</f>
        <v>Product34</v>
      </c>
      <c r="H350" t="str">
        <f>VLOOKUP(InputData4[[#This Row],[PRODUCT ID]],MasterData[],3,0)</f>
        <v>Category04</v>
      </c>
      <c r="I350" t="str">
        <f>VLOOKUP(InputData4[[#This Row],[PRODUCT ID]],MasterData[],4,0)</f>
        <v>Lt</v>
      </c>
      <c r="J350" s="9">
        <f>VLOOKUP(InputData4[[#This Row],[PRODUCT ID]],MasterData[],5,0)</f>
        <v>55</v>
      </c>
      <c r="K350" s="9">
        <f>VLOOKUP(InputData4[[#This Row],[PRODUCT ID]],MasterData[],6,0)</f>
        <v>58.3</v>
      </c>
      <c r="L350" s="9">
        <f>InputData4[[#This Row],[QUANTITY]]*InputData4[[#This Row],[BUYING PRIZE]]</f>
        <v>385</v>
      </c>
      <c r="M350" s="9">
        <f>InputData4[[#This Row],[QUANTITY]]*InputData4[[#This Row],[SELLING PRICE]]*(1-InputData4[[#This Row],[DISCOUNT %]])</f>
        <v>408.09999999999997</v>
      </c>
      <c r="N350" s="7">
        <f>DAY(InputData4[[#This Row],[DATE]])</f>
        <v>6</v>
      </c>
      <c r="O350" s="7">
        <f>MONTH(InputData4[[#This Row],[DATE]])</f>
        <v>5</v>
      </c>
      <c r="P350" s="7">
        <f>YEAR(InputData4[[#This Row],[DATE]])</f>
        <v>2022</v>
      </c>
    </row>
    <row r="351" spans="1:16" x14ac:dyDescent="0.3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  <c r="G351" t="str">
        <f>VLOOKUP(InputData4[[#This Row],[PRODUCT ID]],MasterData[],2,0)</f>
        <v>Product15</v>
      </c>
      <c r="H351" t="str">
        <f>VLOOKUP(InputData4[[#This Row],[PRODUCT ID]],MasterData[],3,0)</f>
        <v>Category02</v>
      </c>
      <c r="I351" t="str">
        <f>VLOOKUP(InputData4[[#This Row],[PRODUCT ID]],MasterData[],4,0)</f>
        <v>No.</v>
      </c>
      <c r="J351" s="9">
        <f>VLOOKUP(InputData4[[#This Row],[PRODUCT ID]],MasterData[],5,0)</f>
        <v>12</v>
      </c>
      <c r="K351" s="9">
        <f>VLOOKUP(InputData4[[#This Row],[PRODUCT ID]],MasterData[],6,0)</f>
        <v>15.719999999999999</v>
      </c>
      <c r="L351" s="9">
        <f>InputData4[[#This Row],[QUANTITY]]*InputData4[[#This Row],[BUYING PRIZE]]</f>
        <v>48</v>
      </c>
      <c r="M351" s="9">
        <f>InputData4[[#This Row],[QUANTITY]]*InputData4[[#This Row],[SELLING PRICE]]*(1-InputData4[[#This Row],[DISCOUNT %]])</f>
        <v>62.879999999999995</v>
      </c>
      <c r="N351" s="7">
        <f>DAY(InputData4[[#This Row],[DATE]])</f>
        <v>7</v>
      </c>
      <c r="O351" s="7">
        <f>MONTH(InputData4[[#This Row],[DATE]])</f>
        <v>5</v>
      </c>
      <c r="P351" s="7">
        <f>YEAR(InputData4[[#This Row],[DATE]])</f>
        <v>2022</v>
      </c>
    </row>
    <row r="352" spans="1:16" x14ac:dyDescent="0.3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  <c r="G352" t="str">
        <f>VLOOKUP(InputData4[[#This Row],[PRODUCT ID]],MasterData[],2,0)</f>
        <v>Product27</v>
      </c>
      <c r="H352" t="str">
        <f>VLOOKUP(InputData4[[#This Row],[PRODUCT ID]],MasterData[],3,0)</f>
        <v>Category04</v>
      </c>
      <c r="I352" t="str">
        <f>VLOOKUP(InputData4[[#This Row],[PRODUCT ID]],MasterData[],4,0)</f>
        <v>Lt</v>
      </c>
      <c r="J352" s="9">
        <f>VLOOKUP(InputData4[[#This Row],[PRODUCT ID]],MasterData[],5,0)</f>
        <v>48</v>
      </c>
      <c r="K352" s="9">
        <f>VLOOKUP(InputData4[[#This Row],[PRODUCT ID]],MasterData[],6,0)</f>
        <v>57.120000000000005</v>
      </c>
      <c r="L352" s="9">
        <f>InputData4[[#This Row],[QUANTITY]]*InputData4[[#This Row],[BUYING PRIZE]]</f>
        <v>48</v>
      </c>
      <c r="M352" s="9">
        <f>InputData4[[#This Row],[QUANTITY]]*InputData4[[#This Row],[SELLING PRICE]]*(1-InputData4[[#This Row],[DISCOUNT %]])</f>
        <v>57.120000000000005</v>
      </c>
      <c r="N352" s="7">
        <f>DAY(InputData4[[#This Row],[DATE]])</f>
        <v>7</v>
      </c>
      <c r="O352" s="7">
        <f>MONTH(InputData4[[#This Row],[DATE]])</f>
        <v>5</v>
      </c>
      <c r="P352" s="7">
        <f>YEAR(InputData4[[#This Row],[DATE]])</f>
        <v>2022</v>
      </c>
    </row>
    <row r="353" spans="1:16" x14ac:dyDescent="0.3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  <c r="G353" t="str">
        <f>VLOOKUP(InputData4[[#This Row],[PRODUCT ID]],MasterData[],2,0)</f>
        <v>Product22</v>
      </c>
      <c r="H353" t="str">
        <f>VLOOKUP(InputData4[[#This Row],[PRODUCT ID]],MasterData[],3,0)</f>
        <v>Category03</v>
      </c>
      <c r="I353" t="str">
        <f>VLOOKUP(InputData4[[#This Row],[PRODUCT ID]],MasterData[],4,0)</f>
        <v>Ft</v>
      </c>
      <c r="J353" s="9">
        <f>VLOOKUP(InputData4[[#This Row],[PRODUCT ID]],MasterData[],5,0)</f>
        <v>121</v>
      </c>
      <c r="K353" s="9">
        <f>VLOOKUP(InputData4[[#This Row],[PRODUCT ID]],MasterData[],6,0)</f>
        <v>141.57</v>
      </c>
      <c r="L353" s="9">
        <f>InputData4[[#This Row],[QUANTITY]]*InputData4[[#This Row],[BUYING PRIZE]]</f>
        <v>847</v>
      </c>
      <c r="M353" s="9">
        <f>InputData4[[#This Row],[QUANTITY]]*InputData4[[#This Row],[SELLING PRICE]]*(1-InputData4[[#This Row],[DISCOUNT %]])</f>
        <v>990.99</v>
      </c>
      <c r="N353" s="7">
        <f>DAY(InputData4[[#This Row],[DATE]])</f>
        <v>8</v>
      </c>
      <c r="O353" s="7">
        <f>MONTH(InputData4[[#This Row],[DATE]])</f>
        <v>5</v>
      </c>
      <c r="P353" s="7">
        <f>YEAR(InputData4[[#This Row],[DATE]])</f>
        <v>2022</v>
      </c>
    </row>
    <row r="354" spans="1:16" x14ac:dyDescent="0.3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  <c r="G354" t="str">
        <f>VLOOKUP(InputData4[[#This Row],[PRODUCT ID]],MasterData[],2,0)</f>
        <v>Product17</v>
      </c>
      <c r="H354" t="str">
        <f>VLOOKUP(InputData4[[#This Row],[PRODUCT ID]],MasterData[],3,0)</f>
        <v>Category02</v>
      </c>
      <c r="I354" t="str">
        <f>VLOOKUP(InputData4[[#This Row],[PRODUCT ID]],MasterData[],4,0)</f>
        <v>Ft</v>
      </c>
      <c r="J354" s="9">
        <f>VLOOKUP(InputData4[[#This Row],[PRODUCT ID]],MasterData[],5,0)</f>
        <v>134</v>
      </c>
      <c r="K354" s="9">
        <f>VLOOKUP(InputData4[[#This Row],[PRODUCT ID]],MasterData[],6,0)</f>
        <v>156.78</v>
      </c>
      <c r="L354" s="9">
        <f>InputData4[[#This Row],[QUANTITY]]*InputData4[[#This Row],[BUYING PRIZE]]</f>
        <v>1608</v>
      </c>
      <c r="M354" s="9">
        <f>InputData4[[#This Row],[QUANTITY]]*InputData4[[#This Row],[SELLING PRICE]]*(1-InputData4[[#This Row],[DISCOUNT %]])</f>
        <v>1881.3600000000001</v>
      </c>
      <c r="N354" s="7">
        <f>DAY(InputData4[[#This Row],[DATE]])</f>
        <v>9</v>
      </c>
      <c r="O354" s="7">
        <f>MONTH(InputData4[[#This Row],[DATE]])</f>
        <v>5</v>
      </c>
      <c r="P354" s="7">
        <f>YEAR(InputData4[[#This Row],[DATE]])</f>
        <v>2022</v>
      </c>
    </row>
    <row r="355" spans="1:16" x14ac:dyDescent="0.3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  <c r="G355" t="str">
        <f>VLOOKUP(InputData4[[#This Row],[PRODUCT ID]],MasterData[],2,0)</f>
        <v>Product09</v>
      </c>
      <c r="H355" t="str">
        <f>VLOOKUP(InputData4[[#This Row],[PRODUCT ID]],MasterData[],3,0)</f>
        <v>Category01</v>
      </c>
      <c r="I355" t="str">
        <f>VLOOKUP(InputData4[[#This Row],[PRODUCT ID]],MasterData[],4,0)</f>
        <v>No.</v>
      </c>
      <c r="J355" s="9">
        <f>VLOOKUP(InputData4[[#This Row],[PRODUCT ID]],MasterData[],5,0)</f>
        <v>6</v>
      </c>
      <c r="K355" s="9">
        <f>VLOOKUP(InputData4[[#This Row],[PRODUCT ID]],MasterData[],6,0)</f>
        <v>7.8599999999999994</v>
      </c>
      <c r="L355" s="9">
        <f>InputData4[[#This Row],[QUANTITY]]*InputData4[[#This Row],[BUYING PRIZE]]</f>
        <v>36</v>
      </c>
      <c r="M355" s="9">
        <f>InputData4[[#This Row],[QUANTITY]]*InputData4[[#This Row],[SELLING PRICE]]*(1-InputData4[[#This Row],[DISCOUNT %]])</f>
        <v>47.16</v>
      </c>
      <c r="N355" s="7">
        <f>DAY(InputData4[[#This Row],[DATE]])</f>
        <v>10</v>
      </c>
      <c r="O355" s="7">
        <f>MONTH(InputData4[[#This Row],[DATE]])</f>
        <v>5</v>
      </c>
      <c r="P355" s="7">
        <f>YEAR(InputData4[[#This Row],[DATE]])</f>
        <v>2022</v>
      </c>
    </row>
    <row r="356" spans="1:16" x14ac:dyDescent="0.3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  <c r="G356" t="str">
        <f>VLOOKUP(InputData4[[#This Row],[PRODUCT ID]],MasterData[],2,0)</f>
        <v>Product11</v>
      </c>
      <c r="H356" t="str">
        <f>VLOOKUP(InputData4[[#This Row],[PRODUCT ID]],MasterData[],3,0)</f>
        <v>Category02</v>
      </c>
      <c r="I356" t="str">
        <f>VLOOKUP(InputData4[[#This Row],[PRODUCT ID]],MasterData[],4,0)</f>
        <v>Lt</v>
      </c>
      <c r="J356" s="9">
        <f>VLOOKUP(InputData4[[#This Row],[PRODUCT ID]],MasterData[],5,0)</f>
        <v>44</v>
      </c>
      <c r="K356" s="9">
        <f>VLOOKUP(InputData4[[#This Row],[PRODUCT ID]],MasterData[],6,0)</f>
        <v>48.4</v>
      </c>
      <c r="L356" s="9">
        <f>InputData4[[#This Row],[QUANTITY]]*InputData4[[#This Row],[BUYING PRIZE]]</f>
        <v>308</v>
      </c>
      <c r="M356" s="9">
        <f>InputData4[[#This Row],[QUANTITY]]*InputData4[[#This Row],[SELLING PRICE]]*(1-InputData4[[#This Row],[DISCOUNT %]])</f>
        <v>338.8</v>
      </c>
      <c r="N356" s="7">
        <f>DAY(InputData4[[#This Row],[DATE]])</f>
        <v>12</v>
      </c>
      <c r="O356" s="7">
        <f>MONTH(InputData4[[#This Row],[DATE]])</f>
        <v>5</v>
      </c>
      <c r="P356" s="7">
        <f>YEAR(InputData4[[#This Row],[DATE]])</f>
        <v>2022</v>
      </c>
    </row>
    <row r="357" spans="1:16" x14ac:dyDescent="0.3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  <c r="G357" t="str">
        <f>VLOOKUP(InputData4[[#This Row],[PRODUCT ID]],MasterData[],2,0)</f>
        <v>Product12</v>
      </c>
      <c r="H357" t="str">
        <f>VLOOKUP(InputData4[[#This Row],[PRODUCT ID]],MasterData[],3,0)</f>
        <v>Category02</v>
      </c>
      <c r="I357" t="str">
        <f>VLOOKUP(InputData4[[#This Row],[PRODUCT ID]],MasterData[],4,0)</f>
        <v>Kg</v>
      </c>
      <c r="J357" s="9">
        <f>VLOOKUP(InputData4[[#This Row],[PRODUCT ID]],MasterData[],5,0)</f>
        <v>73</v>
      </c>
      <c r="K357" s="9">
        <f>VLOOKUP(InputData4[[#This Row],[PRODUCT ID]],MasterData[],6,0)</f>
        <v>94.17</v>
      </c>
      <c r="L357" s="9">
        <f>InputData4[[#This Row],[QUANTITY]]*InputData4[[#This Row],[BUYING PRIZE]]</f>
        <v>365</v>
      </c>
      <c r="M357" s="9">
        <f>InputData4[[#This Row],[QUANTITY]]*InputData4[[#This Row],[SELLING PRICE]]*(1-InputData4[[#This Row],[DISCOUNT %]])</f>
        <v>470.85</v>
      </c>
      <c r="N357" s="7">
        <f>DAY(InputData4[[#This Row],[DATE]])</f>
        <v>13</v>
      </c>
      <c r="O357" s="7">
        <f>MONTH(InputData4[[#This Row],[DATE]])</f>
        <v>5</v>
      </c>
      <c r="P357" s="7">
        <f>YEAR(InputData4[[#This Row],[DATE]])</f>
        <v>2022</v>
      </c>
    </row>
    <row r="358" spans="1:16" x14ac:dyDescent="0.3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  <c r="G358" t="str">
        <f>VLOOKUP(InputData4[[#This Row],[PRODUCT ID]],MasterData[],2,0)</f>
        <v>Product08</v>
      </c>
      <c r="H358" t="str">
        <f>VLOOKUP(InputData4[[#This Row],[PRODUCT ID]],MasterData[],3,0)</f>
        <v>Category01</v>
      </c>
      <c r="I358" t="str">
        <f>VLOOKUP(InputData4[[#This Row],[PRODUCT ID]],MasterData[],4,0)</f>
        <v>Kg</v>
      </c>
      <c r="J358" s="9">
        <f>VLOOKUP(InputData4[[#This Row],[PRODUCT ID]],MasterData[],5,0)</f>
        <v>83</v>
      </c>
      <c r="K358" s="9">
        <f>VLOOKUP(InputData4[[#This Row],[PRODUCT ID]],MasterData[],6,0)</f>
        <v>94.62</v>
      </c>
      <c r="L358" s="9">
        <f>InputData4[[#This Row],[QUANTITY]]*InputData4[[#This Row],[BUYING PRIZE]]</f>
        <v>1162</v>
      </c>
      <c r="M358" s="9">
        <f>InputData4[[#This Row],[QUANTITY]]*InputData4[[#This Row],[SELLING PRICE]]*(1-InputData4[[#This Row],[DISCOUNT %]])</f>
        <v>1324.68</v>
      </c>
      <c r="N358" s="7">
        <f>DAY(InputData4[[#This Row],[DATE]])</f>
        <v>14</v>
      </c>
      <c r="O358" s="7">
        <f>MONTH(InputData4[[#This Row],[DATE]])</f>
        <v>5</v>
      </c>
      <c r="P358" s="7">
        <f>YEAR(InputData4[[#This Row],[DATE]])</f>
        <v>2022</v>
      </c>
    </row>
    <row r="359" spans="1:16" x14ac:dyDescent="0.3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  <c r="G359" t="str">
        <f>VLOOKUP(InputData4[[#This Row],[PRODUCT ID]],MasterData[],2,0)</f>
        <v>Product20</v>
      </c>
      <c r="H359" t="str">
        <f>VLOOKUP(InputData4[[#This Row],[PRODUCT ID]],MasterData[],3,0)</f>
        <v>Category03</v>
      </c>
      <c r="I359" t="str">
        <f>VLOOKUP(InputData4[[#This Row],[PRODUCT ID]],MasterData[],4,0)</f>
        <v>Lt</v>
      </c>
      <c r="J359" s="9">
        <f>VLOOKUP(InputData4[[#This Row],[PRODUCT ID]],MasterData[],5,0)</f>
        <v>61</v>
      </c>
      <c r="K359" s="9">
        <f>VLOOKUP(InputData4[[#This Row],[PRODUCT ID]],MasterData[],6,0)</f>
        <v>76.25</v>
      </c>
      <c r="L359" s="9">
        <f>InputData4[[#This Row],[QUANTITY]]*InputData4[[#This Row],[BUYING PRIZE]]</f>
        <v>305</v>
      </c>
      <c r="M359" s="9">
        <f>InputData4[[#This Row],[QUANTITY]]*InputData4[[#This Row],[SELLING PRICE]]*(1-InputData4[[#This Row],[DISCOUNT %]])</f>
        <v>381.25</v>
      </c>
      <c r="N359" s="7">
        <f>DAY(InputData4[[#This Row],[DATE]])</f>
        <v>15</v>
      </c>
      <c r="O359" s="7">
        <f>MONTH(InputData4[[#This Row],[DATE]])</f>
        <v>5</v>
      </c>
      <c r="P359" s="7">
        <f>YEAR(InputData4[[#This Row],[DATE]])</f>
        <v>2022</v>
      </c>
    </row>
    <row r="360" spans="1:16" x14ac:dyDescent="0.3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  <c r="G360" t="str">
        <f>VLOOKUP(InputData4[[#This Row],[PRODUCT ID]],MasterData[],2,0)</f>
        <v>Product10</v>
      </c>
      <c r="H360" t="str">
        <f>VLOOKUP(InputData4[[#This Row],[PRODUCT ID]],MasterData[],3,0)</f>
        <v>Category02</v>
      </c>
      <c r="I360" t="str">
        <f>VLOOKUP(InputData4[[#This Row],[PRODUCT ID]],MasterData[],4,0)</f>
        <v>Ft</v>
      </c>
      <c r="J360" s="9">
        <f>VLOOKUP(InputData4[[#This Row],[PRODUCT ID]],MasterData[],5,0)</f>
        <v>148</v>
      </c>
      <c r="K360" s="9">
        <f>VLOOKUP(InputData4[[#This Row],[PRODUCT ID]],MasterData[],6,0)</f>
        <v>164.28</v>
      </c>
      <c r="L360" s="9">
        <f>InputData4[[#This Row],[QUANTITY]]*InputData4[[#This Row],[BUYING PRIZE]]</f>
        <v>1924</v>
      </c>
      <c r="M360" s="9">
        <f>InputData4[[#This Row],[QUANTITY]]*InputData4[[#This Row],[SELLING PRICE]]*(1-InputData4[[#This Row],[DISCOUNT %]])</f>
        <v>2135.64</v>
      </c>
      <c r="N360" s="7">
        <f>DAY(InputData4[[#This Row],[DATE]])</f>
        <v>16</v>
      </c>
      <c r="O360" s="7">
        <f>MONTH(InputData4[[#This Row],[DATE]])</f>
        <v>5</v>
      </c>
      <c r="P360" s="7">
        <f>YEAR(InputData4[[#This Row],[DATE]])</f>
        <v>2022</v>
      </c>
    </row>
    <row r="361" spans="1:16" x14ac:dyDescent="0.3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  <c r="G361" t="str">
        <f>VLOOKUP(InputData4[[#This Row],[PRODUCT ID]],MasterData[],2,0)</f>
        <v>Product31</v>
      </c>
      <c r="H361" t="str">
        <f>VLOOKUP(InputData4[[#This Row],[PRODUCT ID]],MasterData[],3,0)</f>
        <v>Category04</v>
      </c>
      <c r="I361" t="str">
        <f>VLOOKUP(InputData4[[#This Row],[PRODUCT ID]],MasterData[],4,0)</f>
        <v>Kg</v>
      </c>
      <c r="J361" s="9">
        <f>VLOOKUP(InputData4[[#This Row],[PRODUCT ID]],MasterData[],5,0)</f>
        <v>93</v>
      </c>
      <c r="K361" s="9">
        <f>VLOOKUP(InputData4[[#This Row],[PRODUCT ID]],MasterData[],6,0)</f>
        <v>104.16</v>
      </c>
      <c r="L361" s="9">
        <f>InputData4[[#This Row],[QUANTITY]]*InputData4[[#This Row],[BUYING PRIZE]]</f>
        <v>1209</v>
      </c>
      <c r="M361" s="9">
        <f>InputData4[[#This Row],[QUANTITY]]*InputData4[[#This Row],[SELLING PRICE]]*(1-InputData4[[#This Row],[DISCOUNT %]])</f>
        <v>1354.08</v>
      </c>
      <c r="N361" s="7">
        <f>DAY(InputData4[[#This Row],[DATE]])</f>
        <v>16</v>
      </c>
      <c r="O361" s="7">
        <f>MONTH(InputData4[[#This Row],[DATE]])</f>
        <v>5</v>
      </c>
      <c r="P361" s="7">
        <f>YEAR(InputData4[[#This Row],[DATE]])</f>
        <v>2022</v>
      </c>
    </row>
    <row r="362" spans="1:16" x14ac:dyDescent="0.3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  <c r="G362" t="str">
        <f>VLOOKUP(InputData4[[#This Row],[PRODUCT ID]],MasterData[],2,0)</f>
        <v>Product27</v>
      </c>
      <c r="H362" t="str">
        <f>VLOOKUP(InputData4[[#This Row],[PRODUCT ID]],MasterData[],3,0)</f>
        <v>Category04</v>
      </c>
      <c r="I362" t="str">
        <f>VLOOKUP(InputData4[[#This Row],[PRODUCT ID]],MasterData[],4,0)</f>
        <v>Lt</v>
      </c>
      <c r="J362" s="9">
        <f>VLOOKUP(InputData4[[#This Row],[PRODUCT ID]],MasterData[],5,0)</f>
        <v>48</v>
      </c>
      <c r="K362" s="9">
        <f>VLOOKUP(InputData4[[#This Row],[PRODUCT ID]],MasterData[],6,0)</f>
        <v>57.120000000000005</v>
      </c>
      <c r="L362" s="9">
        <f>InputData4[[#This Row],[QUANTITY]]*InputData4[[#This Row],[BUYING PRIZE]]</f>
        <v>384</v>
      </c>
      <c r="M362" s="9">
        <f>InputData4[[#This Row],[QUANTITY]]*InputData4[[#This Row],[SELLING PRICE]]*(1-InputData4[[#This Row],[DISCOUNT %]])</f>
        <v>456.96000000000004</v>
      </c>
      <c r="N362" s="7">
        <f>DAY(InputData4[[#This Row],[DATE]])</f>
        <v>17</v>
      </c>
      <c r="O362" s="7">
        <f>MONTH(InputData4[[#This Row],[DATE]])</f>
        <v>5</v>
      </c>
      <c r="P362" s="7">
        <f>YEAR(InputData4[[#This Row],[DATE]])</f>
        <v>2022</v>
      </c>
    </row>
    <row r="363" spans="1:16" x14ac:dyDescent="0.3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  <c r="G363" t="str">
        <f>VLOOKUP(InputData4[[#This Row],[PRODUCT ID]],MasterData[],2,0)</f>
        <v>Product27</v>
      </c>
      <c r="H363" t="str">
        <f>VLOOKUP(InputData4[[#This Row],[PRODUCT ID]],MasterData[],3,0)</f>
        <v>Category04</v>
      </c>
      <c r="I363" t="str">
        <f>VLOOKUP(InputData4[[#This Row],[PRODUCT ID]],MasterData[],4,0)</f>
        <v>Lt</v>
      </c>
      <c r="J363" s="9">
        <f>VLOOKUP(InputData4[[#This Row],[PRODUCT ID]],MasterData[],5,0)</f>
        <v>48</v>
      </c>
      <c r="K363" s="9">
        <f>VLOOKUP(InputData4[[#This Row],[PRODUCT ID]],MasterData[],6,0)</f>
        <v>57.120000000000005</v>
      </c>
      <c r="L363" s="9">
        <f>InputData4[[#This Row],[QUANTITY]]*InputData4[[#This Row],[BUYING PRIZE]]</f>
        <v>192</v>
      </c>
      <c r="M363" s="9">
        <f>InputData4[[#This Row],[QUANTITY]]*InputData4[[#This Row],[SELLING PRICE]]*(1-InputData4[[#This Row],[DISCOUNT %]])</f>
        <v>228.48000000000002</v>
      </c>
      <c r="N363" s="7">
        <f>DAY(InputData4[[#This Row],[DATE]])</f>
        <v>18</v>
      </c>
      <c r="O363" s="7">
        <f>MONTH(InputData4[[#This Row],[DATE]])</f>
        <v>5</v>
      </c>
      <c r="P363" s="7">
        <f>YEAR(InputData4[[#This Row],[DATE]])</f>
        <v>2022</v>
      </c>
    </row>
    <row r="364" spans="1:16" x14ac:dyDescent="0.3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  <c r="G364" t="str">
        <f>VLOOKUP(InputData4[[#This Row],[PRODUCT ID]],MasterData[],2,0)</f>
        <v>Product38</v>
      </c>
      <c r="H364" t="str">
        <f>VLOOKUP(InputData4[[#This Row],[PRODUCT ID]],MasterData[],3,0)</f>
        <v>Category05</v>
      </c>
      <c r="I364" t="str">
        <f>VLOOKUP(InputData4[[#This Row],[PRODUCT ID]],MasterData[],4,0)</f>
        <v>Kg</v>
      </c>
      <c r="J364" s="9">
        <f>VLOOKUP(InputData4[[#This Row],[PRODUCT ID]],MasterData[],5,0)</f>
        <v>72</v>
      </c>
      <c r="K364" s="9">
        <f>VLOOKUP(InputData4[[#This Row],[PRODUCT ID]],MasterData[],6,0)</f>
        <v>79.92</v>
      </c>
      <c r="L364" s="9">
        <f>InputData4[[#This Row],[QUANTITY]]*InputData4[[#This Row],[BUYING PRIZE]]</f>
        <v>576</v>
      </c>
      <c r="M364" s="9">
        <f>InputData4[[#This Row],[QUANTITY]]*InputData4[[#This Row],[SELLING PRICE]]*(1-InputData4[[#This Row],[DISCOUNT %]])</f>
        <v>639.36</v>
      </c>
      <c r="N364" s="7">
        <f>DAY(InputData4[[#This Row],[DATE]])</f>
        <v>18</v>
      </c>
      <c r="O364" s="7">
        <f>MONTH(InputData4[[#This Row],[DATE]])</f>
        <v>5</v>
      </c>
      <c r="P364" s="7">
        <f>YEAR(InputData4[[#This Row],[DATE]])</f>
        <v>2022</v>
      </c>
    </row>
    <row r="365" spans="1:16" x14ac:dyDescent="0.3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  <c r="G365" t="str">
        <f>VLOOKUP(InputData4[[#This Row],[PRODUCT ID]],MasterData[],2,0)</f>
        <v>Product44</v>
      </c>
      <c r="H365" t="str">
        <f>VLOOKUP(InputData4[[#This Row],[PRODUCT ID]],MasterData[],3,0)</f>
        <v>Category05</v>
      </c>
      <c r="I365" t="str">
        <f>VLOOKUP(InputData4[[#This Row],[PRODUCT ID]],MasterData[],4,0)</f>
        <v>Kg</v>
      </c>
      <c r="J365" s="9">
        <f>VLOOKUP(InputData4[[#This Row],[PRODUCT ID]],MasterData[],5,0)</f>
        <v>76</v>
      </c>
      <c r="K365" s="9">
        <f>VLOOKUP(InputData4[[#This Row],[PRODUCT ID]],MasterData[],6,0)</f>
        <v>82.08</v>
      </c>
      <c r="L365" s="9">
        <f>InputData4[[#This Row],[QUANTITY]]*InputData4[[#This Row],[BUYING PRIZE]]</f>
        <v>1140</v>
      </c>
      <c r="M365" s="9">
        <f>InputData4[[#This Row],[QUANTITY]]*InputData4[[#This Row],[SELLING PRICE]]*(1-InputData4[[#This Row],[DISCOUNT %]])</f>
        <v>1231.2</v>
      </c>
      <c r="N365" s="7">
        <f>DAY(InputData4[[#This Row],[DATE]])</f>
        <v>20</v>
      </c>
      <c r="O365" s="7">
        <f>MONTH(InputData4[[#This Row],[DATE]])</f>
        <v>5</v>
      </c>
      <c r="P365" s="7">
        <f>YEAR(InputData4[[#This Row],[DATE]])</f>
        <v>2022</v>
      </c>
    </row>
    <row r="366" spans="1:16" x14ac:dyDescent="0.3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  <c r="G366" t="str">
        <f>VLOOKUP(InputData4[[#This Row],[PRODUCT ID]],MasterData[],2,0)</f>
        <v>Product15</v>
      </c>
      <c r="H366" t="str">
        <f>VLOOKUP(InputData4[[#This Row],[PRODUCT ID]],MasterData[],3,0)</f>
        <v>Category02</v>
      </c>
      <c r="I366" t="str">
        <f>VLOOKUP(InputData4[[#This Row],[PRODUCT ID]],MasterData[],4,0)</f>
        <v>No.</v>
      </c>
      <c r="J366" s="9">
        <f>VLOOKUP(InputData4[[#This Row],[PRODUCT ID]],MasterData[],5,0)</f>
        <v>12</v>
      </c>
      <c r="K366" s="9">
        <f>VLOOKUP(InputData4[[#This Row],[PRODUCT ID]],MasterData[],6,0)</f>
        <v>15.719999999999999</v>
      </c>
      <c r="L366" s="9">
        <f>InputData4[[#This Row],[QUANTITY]]*InputData4[[#This Row],[BUYING PRIZE]]</f>
        <v>144</v>
      </c>
      <c r="M366" s="9">
        <f>InputData4[[#This Row],[QUANTITY]]*InputData4[[#This Row],[SELLING PRICE]]*(1-InputData4[[#This Row],[DISCOUNT %]])</f>
        <v>188.64</v>
      </c>
      <c r="N366" s="7">
        <f>DAY(InputData4[[#This Row],[DATE]])</f>
        <v>22</v>
      </c>
      <c r="O366" s="7">
        <f>MONTH(InputData4[[#This Row],[DATE]])</f>
        <v>5</v>
      </c>
      <c r="P366" s="7">
        <f>YEAR(InputData4[[#This Row],[DATE]])</f>
        <v>2022</v>
      </c>
    </row>
    <row r="367" spans="1:16" x14ac:dyDescent="0.3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  <c r="G367" t="str">
        <f>VLOOKUP(InputData4[[#This Row],[PRODUCT ID]],MasterData[],2,0)</f>
        <v>Product02</v>
      </c>
      <c r="H367" t="str">
        <f>VLOOKUP(InputData4[[#This Row],[PRODUCT ID]],MasterData[],3,0)</f>
        <v>Category01</v>
      </c>
      <c r="I367" t="str">
        <f>VLOOKUP(InputData4[[#This Row],[PRODUCT ID]],MasterData[],4,0)</f>
        <v>Kg</v>
      </c>
      <c r="J367" s="9">
        <f>VLOOKUP(InputData4[[#This Row],[PRODUCT ID]],MasterData[],5,0)</f>
        <v>105</v>
      </c>
      <c r="K367" s="9">
        <f>VLOOKUP(InputData4[[#This Row],[PRODUCT ID]],MasterData[],6,0)</f>
        <v>142.80000000000001</v>
      </c>
      <c r="L367" s="9">
        <f>InputData4[[#This Row],[QUANTITY]]*InputData4[[#This Row],[BUYING PRIZE]]</f>
        <v>735</v>
      </c>
      <c r="M367" s="9">
        <f>InputData4[[#This Row],[QUANTITY]]*InputData4[[#This Row],[SELLING PRICE]]*(1-InputData4[[#This Row],[DISCOUNT %]])</f>
        <v>999.60000000000014</v>
      </c>
      <c r="N367" s="7">
        <f>DAY(InputData4[[#This Row],[DATE]])</f>
        <v>25</v>
      </c>
      <c r="O367" s="7">
        <f>MONTH(InputData4[[#This Row],[DATE]])</f>
        <v>5</v>
      </c>
      <c r="P367" s="7">
        <f>YEAR(InputData4[[#This Row],[DATE]])</f>
        <v>2022</v>
      </c>
    </row>
    <row r="368" spans="1:16" x14ac:dyDescent="0.3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  <c r="G368" t="str">
        <f>VLOOKUP(InputData4[[#This Row],[PRODUCT ID]],MasterData[],2,0)</f>
        <v>Product28</v>
      </c>
      <c r="H368" t="str">
        <f>VLOOKUP(InputData4[[#This Row],[PRODUCT ID]],MasterData[],3,0)</f>
        <v>Category04</v>
      </c>
      <c r="I368" t="str">
        <f>VLOOKUP(InputData4[[#This Row],[PRODUCT ID]],MasterData[],4,0)</f>
        <v>No.</v>
      </c>
      <c r="J368" s="9">
        <f>VLOOKUP(InputData4[[#This Row],[PRODUCT ID]],MasterData[],5,0)</f>
        <v>37</v>
      </c>
      <c r="K368" s="9">
        <f>VLOOKUP(InputData4[[#This Row],[PRODUCT ID]],MasterData[],6,0)</f>
        <v>41.81</v>
      </c>
      <c r="L368" s="9">
        <f>InputData4[[#This Row],[QUANTITY]]*InputData4[[#This Row],[BUYING PRIZE]]</f>
        <v>74</v>
      </c>
      <c r="M368" s="9">
        <f>InputData4[[#This Row],[QUANTITY]]*InputData4[[#This Row],[SELLING PRICE]]*(1-InputData4[[#This Row],[DISCOUNT %]])</f>
        <v>83.62</v>
      </c>
      <c r="N368" s="7">
        <f>DAY(InputData4[[#This Row],[DATE]])</f>
        <v>26</v>
      </c>
      <c r="O368" s="7">
        <f>MONTH(InputData4[[#This Row],[DATE]])</f>
        <v>5</v>
      </c>
      <c r="P368" s="7">
        <f>YEAR(InputData4[[#This Row],[DATE]])</f>
        <v>2022</v>
      </c>
    </row>
    <row r="369" spans="1:16" x14ac:dyDescent="0.3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  <c r="G369" t="str">
        <f>VLOOKUP(InputData4[[#This Row],[PRODUCT ID]],MasterData[],2,0)</f>
        <v>Product27</v>
      </c>
      <c r="H369" t="str">
        <f>VLOOKUP(InputData4[[#This Row],[PRODUCT ID]],MasterData[],3,0)</f>
        <v>Category04</v>
      </c>
      <c r="I369" t="str">
        <f>VLOOKUP(InputData4[[#This Row],[PRODUCT ID]],MasterData[],4,0)</f>
        <v>Lt</v>
      </c>
      <c r="J369" s="9">
        <f>VLOOKUP(InputData4[[#This Row],[PRODUCT ID]],MasterData[],5,0)</f>
        <v>48</v>
      </c>
      <c r="K369" s="9">
        <f>VLOOKUP(InputData4[[#This Row],[PRODUCT ID]],MasterData[],6,0)</f>
        <v>57.120000000000005</v>
      </c>
      <c r="L369" s="9">
        <f>InputData4[[#This Row],[QUANTITY]]*InputData4[[#This Row],[BUYING PRIZE]]</f>
        <v>96</v>
      </c>
      <c r="M369" s="9">
        <f>InputData4[[#This Row],[QUANTITY]]*InputData4[[#This Row],[SELLING PRICE]]*(1-InputData4[[#This Row],[DISCOUNT %]])</f>
        <v>114.24000000000001</v>
      </c>
      <c r="N369" s="7">
        <f>DAY(InputData4[[#This Row],[DATE]])</f>
        <v>26</v>
      </c>
      <c r="O369" s="7">
        <f>MONTH(InputData4[[#This Row],[DATE]])</f>
        <v>5</v>
      </c>
      <c r="P369" s="7">
        <f>YEAR(InputData4[[#This Row],[DATE]])</f>
        <v>2022</v>
      </c>
    </row>
    <row r="370" spans="1:16" x14ac:dyDescent="0.3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  <c r="G370" t="str">
        <f>VLOOKUP(InputData4[[#This Row],[PRODUCT ID]],MasterData[],2,0)</f>
        <v>Product41</v>
      </c>
      <c r="H370" t="str">
        <f>VLOOKUP(InputData4[[#This Row],[PRODUCT ID]],MasterData[],3,0)</f>
        <v>Category05</v>
      </c>
      <c r="I370" t="str">
        <f>VLOOKUP(InputData4[[#This Row],[PRODUCT ID]],MasterData[],4,0)</f>
        <v>Ft</v>
      </c>
      <c r="J370" s="9">
        <f>VLOOKUP(InputData4[[#This Row],[PRODUCT ID]],MasterData[],5,0)</f>
        <v>138</v>
      </c>
      <c r="K370" s="9">
        <f>VLOOKUP(InputData4[[#This Row],[PRODUCT ID]],MasterData[],6,0)</f>
        <v>173.88</v>
      </c>
      <c r="L370" s="9">
        <f>InputData4[[#This Row],[QUANTITY]]*InputData4[[#This Row],[BUYING PRIZE]]</f>
        <v>1380</v>
      </c>
      <c r="M370" s="9">
        <f>InputData4[[#This Row],[QUANTITY]]*InputData4[[#This Row],[SELLING PRICE]]*(1-InputData4[[#This Row],[DISCOUNT %]])</f>
        <v>1738.8</v>
      </c>
      <c r="N370" s="7">
        <f>DAY(InputData4[[#This Row],[DATE]])</f>
        <v>28</v>
      </c>
      <c r="O370" s="7">
        <f>MONTH(InputData4[[#This Row],[DATE]])</f>
        <v>5</v>
      </c>
      <c r="P370" s="7">
        <f>YEAR(InputData4[[#This Row],[DATE]])</f>
        <v>2022</v>
      </c>
    </row>
    <row r="371" spans="1:16" x14ac:dyDescent="0.3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  <c r="G371" t="str">
        <f>VLOOKUP(InputData4[[#This Row],[PRODUCT ID]],MasterData[],2,0)</f>
        <v>Product08</v>
      </c>
      <c r="H371" t="str">
        <f>VLOOKUP(InputData4[[#This Row],[PRODUCT ID]],MasterData[],3,0)</f>
        <v>Category01</v>
      </c>
      <c r="I371" t="str">
        <f>VLOOKUP(InputData4[[#This Row],[PRODUCT ID]],MasterData[],4,0)</f>
        <v>Kg</v>
      </c>
      <c r="J371" s="9">
        <f>VLOOKUP(InputData4[[#This Row],[PRODUCT ID]],MasterData[],5,0)</f>
        <v>83</v>
      </c>
      <c r="K371" s="9">
        <f>VLOOKUP(InputData4[[#This Row],[PRODUCT ID]],MasterData[],6,0)</f>
        <v>94.62</v>
      </c>
      <c r="L371" s="9">
        <f>InputData4[[#This Row],[QUANTITY]]*InputData4[[#This Row],[BUYING PRIZE]]</f>
        <v>415</v>
      </c>
      <c r="M371" s="9">
        <f>InputData4[[#This Row],[QUANTITY]]*InputData4[[#This Row],[SELLING PRICE]]*(1-InputData4[[#This Row],[DISCOUNT %]])</f>
        <v>473.1</v>
      </c>
      <c r="N371" s="7">
        <f>DAY(InputData4[[#This Row],[DATE]])</f>
        <v>28</v>
      </c>
      <c r="O371" s="7">
        <f>MONTH(InputData4[[#This Row],[DATE]])</f>
        <v>5</v>
      </c>
      <c r="P371" s="7">
        <f>YEAR(InputData4[[#This Row],[DATE]])</f>
        <v>2022</v>
      </c>
    </row>
    <row r="372" spans="1:16" x14ac:dyDescent="0.3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  <c r="G372" t="str">
        <f>VLOOKUP(InputData4[[#This Row],[PRODUCT ID]],MasterData[],2,0)</f>
        <v>Product10</v>
      </c>
      <c r="H372" t="str">
        <f>VLOOKUP(InputData4[[#This Row],[PRODUCT ID]],MasterData[],3,0)</f>
        <v>Category02</v>
      </c>
      <c r="I372" t="str">
        <f>VLOOKUP(InputData4[[#This Row],[PRODUCT ID]],MasterData[],4,0)</f>
        <v>Ft</v>
      </c>
      <c r="J372" s="9">
        <f>VLOOKUP(InputData4[[#This Row],[PRODUCT ID]],MasterData[],5,0)</f>
        <v>148</v>
      </c>
      <c r="K372" s="9">
        <f>VLOOKUP(InputData4[[#This Row],[PRODUCT ID]],MasterData[],6,0)</f>
        <v>164.28</v>
      </c>
      <c r="L372" s="9">
        <f>InputData4[[#This Row],[QUANTITY]]*InputData4[[#This Row],[BUYING PRIZE]]</f>
        <v>1332</v>
      </c>
      <c r="M372" s="9">
        <f>InputData4[[#This Row],[QUANTITY]]*InputData4[[#This Row],[SELLING PRICE]]*(1-InputData4[[#This Row],[DISCOUNT %]])</f>
        <v>1478.52</v>
      </c>
      <c r="N372" s="7">
        <f>DAY(InputData4[[#This Row],[DATE]])</f>
        <v>28</v>
      </c>
      <c r="O372" s="7">
        <f>MONTH(InputData4[[#This Row],[DATE]])</f>
        <v>5</v>
      </c>
      <c r="P372" s="7">
        <f>YEAR(InputData4[[#This Row],[DATE]])</f>
        <v>2022</v>
      </c>
    </row>
    <row r="373" spans="1:16" x14ac:dyDescent="0.3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  <c r="G373" t="str">
        <f>VLOOKUP(InputData4[[#This Row],[PRODUCT ID]],MasterData[],2,0)</f>
        <v>Product04</v>
      </c>
      <c r="H373" t="str">
        <f>VLOOKUP(InputData4[[#This Row],[PRODUCT ID]],MasterData[],3,0)</f>
        <v>Category01</v>
      </c>
      <c r="I373" t="str">
        <f>VLOOKUP(InputData4[[#This Row],[PRODUCT ID]],MasterData[],4,0)</f>
        <v>Lt</v>
      </c>
      <c r="J373" s="9">
        <f>VLOOKUP(InputData4[[#This Row],[PRODUCT ID]],MasterData[],5,0)</f>
        <v>44</v>
      </c>
      <c r="K373" s="9">
        <f>VLOOKUP(InputData4[[#This Row],[PRODUCT ID]],MasterData[],6,0)</f>
        <v>48.84</v>
      </c>
      <c r="L373" s="9">
        <f>InputData4[[#This Row],[QUANTITY]]*InputData4[[#This Row],[BUYING PRIZE]]</f>
        <v>528</v>
      </c>
      <c r="M373" s="9">
        <f>InputData4[[#This Row],[QUANTITY]]*InputData4[[#This Row],[SELLING PRICE]]*(1-InputData4[[#This Row],[DISCOUNT %]])</f>
        <v>586.08000000000004</v>
      </c>
      <c r="N373" s="7">
        <f>DAY(InputData4[[#This Row],[DATE]])</f>
        <v>28</v>
      </c>
      <c r="O373" s="7">
        <f>MONTH(InputData4[[#This Row],[DATE]])</f>
        <v>5</v>
      </c>
      <c r="P373" s="7">
        <f>YEAR(InputData4[[#This Row],[DATE]])</f>
        <v>2022</v>
      </c>
    </row>
    <row r="374" spans="1:16" x14ac:dyDescent="0.3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  <c r="G374" t="str">
        <f>VLOOKUP(InputData4[[#This Row],[PRODUCT ID]],MasterData[],2,0)</f>
        <v>Product20</v>
      </c>
      <c r="H374" t="str">
        <f>VLOOKUP(InputData4[[#This Row],[PRODUCT ID]],MasterData[],3,0)</f>
        <v>Category03</v>
      </c>
      <c r="I374" t="str">
        <f>VLOOKUP(InputData4[[#This Row],[PRODUCT ID]],MasterData[],4,0)</f>
        <v>Lt</v>
      </c>
      <c r="J374" s="9">
        <f>VLOOKUP(InputData4[[#This Row],[PRODUCT ID]],MasterData[],5,0)</f>
        <v>61</v>
      </c>
      <c r="K374" s="9">
        <f>VLOOKUP(InputData4[[#This Row],[PRODUCT ID]],MasterData[],6,0)</f>
        <v>76.25</v>
      </c>
      <c r="L374" s="9">
        <f>InputData4[[#This Row],[QUANTITY]]*InputData4[[#This Row],[BUYING PRIZE]]</f>
        <v>854</v>
      </c>
      <c r="M374" s="9">
        <f>InputData4[[#This Row],[QUANTITY]]*InputData4[[#This Row],[SELLING PRICE]]*(1-InputData4[[#This Row],[DISCOUNT %]])</f>
        <v>1067.5</v>
      </c>
      <c r="N374" s="7">
        <f>DAY(InputData4[[#This Row],[DATE]])</f>
        <v>28</v>
      </c>
      <c r="O374" s="7">
        <f>MONTH(InputData4[[#This Row],[DATE]])</f>
        <v>5</v>
      </c>
      <c r="P374" s="7">
        <f>YEAR(InputData4[[#This Row],[DATE]])</f>
        <v>2022</v>
      </c>
    </row>
    <row r="375" spans="1:16" x14ac:dyDescent="0.3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  <c r="G375" t="str">
        <f>VLOOKUP(InputData4[[#This Row],[PRODUCT ID]],MasterData[],2,0)</f>
        <v>Product44</v>
      </c>
      <c r="H375" t="str">
        <f>VLOOKUP(InputData4[[#This Row],[PRODUCT ID]],MasterData[],3,0)</f>
        <v>Category05</v>
      </c>
      <c r="I375" t="str">
        <f>VLOOKUP(InputData4[[#This Row],[PRODUCT ID]],MasterData[],4,0)</f>
        <v>Kg</v>
      </c>
      <c r="J375" s="9">
        <f>VLOOKUP(InputData4[[#This Row],[PRODUCT ID]],MasterData[],5,0)</f>
        <v>76</v>
      </c>
      <c r="K375" s="9">
        <f>VLOOKUP(InputData4[[#This Row],[PRODUCT ID]],MasterData[],6,0)</f>
        <v>82.08</v>
      </c>
      <c r="L375" s="9">
        <f>InputData4[[#This Row],[QUANTITY]]*InputData4[[#This Row],[BUYING PRIZE]]</f>
        <v>684</v>
      </c>
      <c r="M375" s="9">
        <f>InputData4[[#This Row],[QUANTITY]]*InputData4[[#This Row],[SELLING PRICE]]*(1-InputData4[[#This Row],[DISCOUNT %]])</f>
        <v>738.72</v>
      </c>
      <c r="N375" s="7">
        <f>DAY(InputData4[[#This Row],[DATE]])</f>
        <v>30</v>
      </c>
      <c r="O375" s="7">
        <f>MONTH(InputData4[[#This Row],[DATE]])</f>
        <v>5</v>
      </c>
      <c r="P375" s="7">
        <f>YEAR(InputData4[[#This Row],[DATE]])</f>
        <v>2022</v>
      </c>
    </row>
    <row r="376" spans="1:16" x14ac:dyDescent="0.3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  <c r="G376" t="str">
        <f>VLOOKUP(InputData4[[#This Row],[PRODUCT ID]],MasterData[],2,0)</f>
        <v>Product05</v>
      </c>
      <c r="H376" t="str">
        <f>VLOOKUP(InputData4[[#This Row],[PRODUCT ID]],MasterData[],3,0)</f>
        <v>Category01</v>
      </c>
      <c r="I376" t="str">
        <f>VLOOKUP(InputData4[[#This Row],[PRODUCT ID]],MasterData[],4,0)</f>
        <v>Ft</v>
      </c>
      <c r="J376" s="9">
        <f>VLOOKUP(InputData4[[#This Row],[PRODUCT ID]],MasterData[],5,0)</f>
        <v>133</v>
      </c>
      <c r="K376" s="9">
        <f>VLOOKUP(InputData4[[#This Row],[PRODUCT ID]],MasterData[],6,0)</f>
        <v>155.61000000000001</v>
      </c>
      <c r="L376" s="9">
        <f>InputData4[[#This Row],[QUANTITY]]*InputData4[[#This Row],[BUYING PRIZE]]</f>
        <v>532</v>
      </c>
      <c r="M376" s="9">
        <f>InputData4[[#This Row],[QUANTITY]]*InputData4[[#This Row],[SELLING PRICE]]*(1-InputData4[[#This Row],[DISCOUNT %]])</f>
        <v>622.44000000000005</v>
      </c>
      <c r="N376" s="7">
        <f>DAY(InputData4[[#This Row],[DATE]])</f>
        <v>30</v>
      </c>
      <c r="O376" s="7">
        <f>MONTH(InputData4[[#This Row],[DATE]])</f>
        <v>5</v>
      </c>
      <c r="P376" s="7">
        <f>YEAR(InputData4[[#This Row],[DATE]])</f>
        <v>2022</v>
      </c>
    </row>
    <row r="377" spans="1:16" x14ac:dyDescent="0.3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  <c r="G377" t="str">
        <f>VLOOKUP(InputData4[[#This Row],[PRODUCT ID]],MasterData[],2,0)</f>
        <v>Product33</v>
      </c>
      <c r="H377" t="str">
        <f>VLOOKUP(InputData4[[#This Row],[PRODUCT ID]],MasterData[],3,0)</f>
        <v>Category04</v>
      </c>
      <c r="I377" t="str">
        <f>VLOOKUP(InputData4[[#This Row],[PRODUCT ID]],MasterData[],4,0)</f>
        <v>Kg</v>
      </c>
      <c r="J377" s="9">
        <f>VLOOKUP(InputData4[[#This Row],[PRODUCT ID]],MasterData[],5,0)</f>
        <v>95</v>
      </c>
      <c r="K377" s="9">
        <f>VLOOKUP(InputData4[[#This Row],[PRODUCT ID]],MasterData[],6,0)</f>
        <v>119.7</v>
      </c>
      <c r="L377" s="9">
        <f>InputData4[[#This Row],[QUANTITY]]*InputData4[[#This Row],[BUYING PRIZE]]</f>
        <v>285</v>
      </c>
      <c r="M377" s="9">
        <f>InputData4[[#This Row],[QUANTITY]]*InputData4[[#This Row],[SELLING PRICE]]*(1-InputData4[[#This Row],[DISCOUNT %]])</f>
        <v>359.1</v>
      </c>
      <c r="N377" s="7">
        <f>DAY(InputData4[[#This Row],[DATE]])</f>
        <v>30</v>
      </c>
      <c r="O377" s="7">
        <f>MONTH(InputData4[[#This Row],[DATE]])</f>
        <v>5</v>
      </c>
      <c r="P377" s="7">
        <f>YEAR(InputData4[[#This Row],[DATE]])</f>
        <v>2022</v>
      </c>
    </row>
    <row r="378" spans="1:16" x14ac:dyDescent="0.3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  <c r="G378" t="str">
        <f>VLOOKUP(InputData4[[#This Row],[PRODUCT ID]],MasterData[],2,0)</f>
        <v>Product08</v>
      </c>
      <c r="H378" t="str">
        <f>VLOOKUP(InputData4[[#This Row],[PRODUCT ID]],MasterData[],3,0)</f>
        <v>Category01</v>
      </c>
      <c r="I378" t="str">
        <f>VLOOKUP(InputData4[[#This Row],[PRODUCT ID]],MasterData[],4,0)</f>
        <v>Kg</v>
      </c>
      <c r="J378" s="9">
        <f>VLOOKUP(InputData4[[#This Row],[PRODUCT ID]],MasterData[],5,0)</f>
        <v>83</v>
      </c>
      <c r="K378" s="9">
        <f>VLOOKUP(InputData4[[#This Row],[PRODUCT ID]],MasterData[],6,0)</f>
        <v>94.62</v>
      </c>
      <c r="L378" s="9">
        <f>InputData4[[#This Row],[QUANTITY]]*InputData4[[#This Row],[BUYING PRIZE]]</f>
        <v>1162</v>
      </c>
      <c r="M378" s="9">
        <f>InputData4[[#This Row],[QUANTITY]]*InputData4[[#This Row],[SELLING PRICE]]*(1-InputData4[[#This Row],[DISCOUNT %]])</f>
        <v>1324.68</v>
      </c>
      <c r="N378" s="7">
        <f>DAY(InputData4[[#This Row],[DATE]])</f>
        <v>3</v>
      </c>
      <c r="O378" s="7">
        <f>MONTH(InputData4[[#This Row],[DATE]])</f>
        <v>6</v>
      </c>
      <c r="P378" s="7">
        <f>YEAR(InputData4[[#This Row],[DATE]])</f>
        <v>2022</v>
      </c>
    </row>
    <row r="379" spans="1:16" x14ac:dyDescent="0.3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  <c r="G379" t="str">
        <f>VLOOKUP(InputData4[[#This Row],[PRODUCT ID]],MasterData[],2,0)</f>
        <v>Product28</v>
      </c>
      <c r="H379" t="str">
        <f>VLOOKUP(InputData4[[#This Row],[PRODUCT ID]],MasterData[],3,0)</f>
        <v>Category04</v>
      </c>
      <c r="I379" t="str">
        <f>VLOOKUP(InputData4[[#This Row],[PRODUCT ID]],MasterData[],4,0)</f>
        <v>No.</v>
      </c>
      <c r="J379" s="9">
        <f>VLOOKUP(InputData4[[#This Row],[PRODUCT ID]],MasterData[],5,0)</f>
        <v>37</v>
      </c>
      <c r="K379" s="9">
        <f>VLOOKUP(InputData4[[#This Row],[PRODUCT ID]],MasterData[],6,0)</f>
        <v>41.81</v>
      </c>
      <c r="L379" s="9">
        <f>InputData4[[#This Row],[QUANTITY]]*InputData4[[#This Row],[BUYING PRIZE]]</f>
        <v>296</v>
      </c>
      <c r="M379" s="9">
        <f>InputData4[[#This Row],[QUANTITY]]*InputData4[[#This Row],[SELLING PRICE]]*(1-InputData4[[#This Row],[DISCOUNT %]])</f>
        <v>334.48</v>
      </c>
      <c r="N379" s="7">
        <f>DAY(InputData4[[#This Row],[DATE]])</f>
        <v>10</v>
      </c>
      <c r="O379" s="7">
        <f>MONTH(InputData4[[#This Row],[DATE]])</f>
        <v>6</v>
      </c>
      <c r="P379" s="7">
        <f>YEAR(InputData4[[#This Row],[DATE]])</f>
        <v>2022</v>
      </c>
    </row>
    <row r="380" spans="1:16" x14ac:dyDescent="0.3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  <c r="G380" t="str">
        <f>VLOOKUP(InputData4[[#This Row],[PRODUCT ID]],MasterData[],2,0)</f>
        <v>Product39</v>
      </c>
      <c r="H380" t="str">
        <f>VLOOKUP(InputData4[[#This Row],[PRODUCT ID]],MasterData[],3,0)</f>
        <v>Category05</v>
      </c>
      <c r="I380" t="str">
        <f>VLOOKUP(InputData4[[#This Row],[PRODUCT ID]],MasterData[],4,0)</f>
        <v>No.</v>
      </c>
      <c r="J380" s="9">
        <f>VLOOKUP(InputData4[[#This Row],[PRODUCT ID]],MasterData[],5,0)</f>
        <v>37</v>
      </c>
      <c r="K380" s="9">
        <f>VLOOKUP(InputData4[[#This Row],[PRODUCT ID]],MasterData[],6,0)</f>
        <v>42.55</v>
      </c>
      <c r="L380" s="9">
        <f>InputData4[[#This Row],[QUANTITY]]*InputData4[[#This Row],[BUYING PRIZE]]</f>
        <v>481</v>
      </c>
      <c r="M380" s="9">
        <f>InputData4[[#This Row],[QUANTITY]]*InputData4[[#This Row],[SELLING PRICE]]*(1-InputData4[[#This Row],[DISCOUNT %]])</f>
        <v>553.15</v>
      </c>
      <c r="N380" s="7">
        <f>DAY(InputData4[[#This Row],[DATE]])</f>
        <v>11</v>
      </c>
      <c r="O380" s="7">
        <f>MONTH(InputData4[[#This Row],[DATE]])</f>
        <v>6</v>
      </c>
      <c r="P380" s="7">
        <f>YEAR(InputData4[[#This Row],[DATE]])</f>
        <v>2022</v>
      </c>
    </row>
    <row r="381" spans="1:16" x14ac:dyDescent="0.3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  <c r="G381" t="str">
        <f>VLOOKUP(InputData4[[#This Row],[PRODUCT ID]],MasterData[],2,0)</f>
        <v>Product21</v>
      </c>
      <c r="H381" t="str">
        <f>VLOOKUP(InputData4[[#This Row],[PRODUCT ID]],MasterData[],3,0)</f>
        <v>Category03</v>
      </c>
      <c r="I381" t="str">
        <f>VLOOKUP(InputData4[[#This Row],[PRODUCT ID]],MasterData[],4,0)</f>
        <v>Ft</v>
      </c>
      <c r="J381" s="9">
        <f>VLOOKUP(InputData4[[#This Row],[PRODUCT ID]],MasterData[],5,0)</f>
        <v>126</v>
      </c>
      <c r="K381" s="9">
        <f>VLOOKUP(InputData4[[#This Row],[PRODUCT ID]],MasterData[],6,0)</f>
        <v>162.54</v>
      </c>
      <c r="L381" s="9">
        <f>InputData4[[#This Row],[QUANTITY]]*InputData4[[#This Row],[BUYING PRIZE]]</f>
        <v>756</v>
      </c>
      <c r="M381" s="9">
        <f>InputData4[[#This Row],[QUANTITY]]*InputData4[[#This Row],[SELLING PRICE]]*(1-InputData4[[#This Row],[DISCOUNT %]])</f>
        <v>975.24</v>
      </c>
      <c r="N381" s="7">
        <f>DAY(InputData4[[#This Row],[DATE]])</f>
        <v>11</v>
      </c>
      <c r="O381" s="7">
        <f>MONTH(InputData4[[#This Row],[DATE]])</f>
        <v>6</v>
      </c>
      <c r="P381" s="7">
        <f>YEAR(InputData4[[#This Row],[DATE]])</f>
        <v>2022</v>
      </c>
    </row>
    <row r="382" spans="1:16" x14ac:dyDescent="0.3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  <c r="G382" t="str">
        <f>VLOOKUP(InputData4[[#This Row],[PRODUCT ID]],MasterData[],2,0)</f>
        <v>Product26</v>
      </c>
      <c r="H382" t="str">
        <f>VLOOKUP(InputData4[[#This Row],[PRODUCT ID]],MasterData[],3,0)</f>
        <v>Category04</v>
      </c>
      <c r="I382" t="str">
        <f>VLOOKUP(InputData4[[#This Row],[PRODUCT ID]],MasterData[],4,0)</f>
        <v>No.</v>
      </c>
      <c r="J382" s="9">
        <f>VLOOKUP(InputData4[[#This Row],[PRODUCT ID]],MasterData[],5,0)</f>
        <v>18</v>
      </c>
      <c r="K382" s="9">
        <f>VLOOKUP(InputData4[[#This Row],[PRODUCT ID]],MasterData[],6,0)</f>
        <v>24.66</v>
      </c>
      <c r="L382" s="9">
        <f>InputData4[[#This Row],[QUANTITY]]*InputData4[[#This Row],[BUYING PRIZE]]</f>
        <v>108</v>
      </c>
      <c r="M382" s="9">
        <f>InputData4[[#This Row],[QUANTITY]]*InputData4[[#This Row],[SELLING PRICE]]*(1-InputData4[[#This Row],[DISCOUNT %]])</f>
        <v>147.96</v>
      </c>
      <c r="N382" s="7">
        <f>DAY(InputData4[[#This Row],[DATE]])</f>
        <v>13</v>
      </c>
      <c r="O382" s="7">
        <f>MONTH(InputData4[[#This Row],[DATE]])</f>
        <v>6</v>
      </c>
      <c r="P382" s="7">
        <f>YEAR(InputData4[[#This Row],[DATE]])</f>
        <v>2022</v>
      </c>
    </row>
    <row r="383" spans="1:16" x14ac:dyDescent="0.3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  <c r="G383" t="str">
        <f>VLOOKUP(InputData4[[#This Row],[PRODUCT ID]],MasterData[],2,0)</f>
        <v>Product42</v>
      </c>
      <c r="H383" t="str">
        <f>VLOOKUP(InputData4[[#This Row],[PRODUCT ID]],MasterData[],3,0)</f>
        <v>Category05</v>
      </c>
      <c r="I383" t="str">
        <f>VLOOKUP(InputData4[[#This Row],[PRODUCT ID]],MasterData[],4,0)</f>
        <v>Ft</v>
      </c>
      <c r="J383" s="9">
        <f>VLOOKUP(InputData4[[#This Row],[PRODUCT ID]],MasterData[],5,0)</f>
        <v>120</v>
      </c>
      <c r="K383" s="9">
        <f>VLOOKUP(InputData4[[#This Row],[PRODUCT ID]],MasterData[],6,0)</f>
        <v>162</v>
      </c>
      <c r="L383" s="9">
        <f>InputData4[[#This Row],[QUANTITY]]*InputData4[[#This Row],[BUYING PRIZE]]</f>
        <v>1800</v>
      </c>
      <c r="M383" s="9">
        <f>InputData4[[#This Row],[QUANTITY]]*InputData4[[#This Row],[SELLING PRICE]]*(1-InputData4[[#This Row],[DISCOUNT %]])</f>
        <v>2430</v>
      </c>
      <c r="N383" s="7">
        <f>DAY(InputData4[[#This Row],[DATE]])</f>
        <v>15</v>
      </c>
      <c r="O383" s="7">
        <f>MONTH(InputData4[[#This Row],[DATE]])</f>
        <v>6</v>
      </c>
      <c r="P383" s="7">
        <f>YEAR(InputData4[[#This Row],[DATE]])</f>
        <v>2022</v>
      </c>
    </row>
    <row r="384" spans="1:16" x14ac:dyDescent="0.3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  <c r="G384" t="str">
        <f>VLOOKUP(InputData4[[#This Row],[PRODUCT ID]],MasterData[],2,0)</f>
        <v>Product29</v>
      </c>
      <c r="H384" t="str">
        <f>VLOOKUP(InputData4[[#This Row],[PRODUCT ID]],MasterData[],3,0)</f>
        <v>Category04</v>
      </c>
      <c r="I384" t="str">
        <f>VLOOKUP(InputData4[[#This Row],[PRODUCT ID]],MasterData[],4,0)</f>
        <v>Lt</v>
      </c>
      <c r="J384" s="9">
        <f>VLOOKUP(InputData4[[#This Row],[PRODUCT ID]],MasterData[],5,0)</f>
        <v>47</v>
      </c>
      <c r="K384" s="9">
        <f>VLOOKUP(InputData4[[#This Row],[PRODUCT ID]],MasterData[],6,0)</f>
        <v>53.11</v>
      </c>
      <c r="L384" s="9">
        <f>InputData4[[#This Row],[QUANTITY]]*InputData4[[#This Row],[BUYING PRIZE]]</f>
        <v>705</v>
      </c>
      <c r="M384" s="9">
        <f>InputData4[[#This Row],[QUANTITY]]*InputData4[[#This Row],[SELLING PRICE]]*(1-InputData4[[#This Row],[DISCOUNT %]])</f>
        <v>796.65</v>
      </c>
      <c r="N384" s="7">
        <f>DAY(InputData4[[#This Row],[DATE]])</f>
        <v>16</v>
      </c>
      <c r="O384" s="7">
        <f>MONTH(InputData4[[#This Row],[DATE]])</f>
        <v>6</v>
      </c>
      <c r="P384" s="7">
        <f>YEAR(InputData4[[#This Row],[DATE]])</f>
        <v>2022</v>
      </c>
    </row>
    <row r="385" spans="1:16" x14ac:dyDescent="0.3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  <c r="G385" t="str">
        <f>VLOOKUP(InputData4[[#This Row],[PRODUCT ID]],MasterData[],2,0)</f>
        <v>Product02</v>
      </c>
      <c r="H385" t="str">
        <f>VLOOKUP(InputData4[[#This Row],[PRODUCT ID]],MasterData[],3,0)</f>
        <v>Category01</v>
      </c>
      <c r="I385" t="str">
        <f>VLOOKUP(InputData4[[#This Row],[PRODUCT ID]],MasterData[],4,0)</f>
        <v>Kg</v>
      </c>
      <c r="J385" s="9">
        <f>VLOOKUP(InputData4[[#This Row],[PRODUCT ID]],MasterData[],5,0)</f>
        <v>105</v>
      </c>
      <c r="K385" s="9">
        <f>VLOOKUP(InputData4[[#This Row],[PRODUCT ID]],MasterData[],6,0)</f>
        <v>142.80000000000001</v>
      </c>
      <c r="L385" s="9">
        <f>InputData4[[#This Row],[QUANTITY]]*InputData4[[#This Row],[BUYING PRIZE]]</f>
        <v>840</v>
      </c>
      <c r="M385" s="9">
        <f>InputData4[[#This Row],[QUANTITY]]*InputData4[[#This Row],[SELLING PRICE]]*(1-InputData4[[#This Row],[DISCOUNT %]])</f>
        <v>1142.4000000000001</v>
      </c>
      <c r="N385" s="7">
        <f>DAY(InputData4[[#This Row],[DATE]])</f>
        <v>19</v>
      </c>
      <c r="O385" s="7">
        <f>MONTH(InputData4[[#This Row],[DATE]])</f>
        <v>6</v>
      </c>
      <c r="P385" s="7">
        <f>YEAR(InputData4[[#This Row],[DATE]])</f>
        <v>2022</v>
      </c>
    </row>
    <row r="386" spans="1:16" x14ac:dyDescent="0.3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  <c r="G386" t="str">
        <f>VLOOKUP(InputData4[[#This Row],[PRODUCT ID]],MasterData[],2,0)</f>
        <v>Product17</v>
      </c>
      <c r="H386" t="str">
        <f>VLOOKUP(InputData4[[#This Row],[PRODUCT ID]],MasterData[],3,0)</f>
        <v>Category02</v>
      </c>
      <c r="I386" t="str">
        <f>VLOOKUP(InputData4[[#This Row],[PRODUCT ID]],MasterData[],4,0)</f>
        <v>Ft</v>
      </c>
      <c r="J386" s="9">
        <f>VLOOKUP(InputData4[[#This Row],[PRODUCT ID]],MasterData[],5,0)</f>
        <v>134</v>
      </c>
      <c r="K386" s="9">
        <f>VLOOKUP(InputData4[[#This Row],[PRODUCT ID]],MasterData[],6,0)</f>
        <v>156.78</v>
      </c>
      <c r="L386" s="9">
        <f>InputData4[[#This Row],[QUANTITY]]*InputData4[[#This Row],[BUYING PRIZE]]</f>
        <v>1876</v>
      </c>
      <c r="M386" s="9">
        <f>InputData4[[#This Row],[QUANTITY]]*InputData4[[#This Row],[SELLING PRICE]]*(1-InputData4[[#This Row],[DISCOUNT %]])</f>
        <v>2194.92</v>
      </c>
      <c r="N386" s="7">
        <f>DAY(InputData4[[#This Row],[DATE]])</f>
        <v>21</v>
      </c>
      <c r="O386" s="7">
        <f>MONTH(InputData4[[#This Row],[DATE]])</f>
        <v>6</v>
      </c>
      <c r="P386" s="7">
        <f>YEAR(InputData4[[#This Row],[DATE]])</f>
        <v>2022</v>
      </c>
    </row>
    <row r="387" spans="1:16" x14ac:dyDescent="0.3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  <c r="G387" t="str">
        <f>VLOOKUP(InputData4[[#This Row],[PRODUCT ID]],MasterData[],2,0)</f>
        <v>Product40</v>
      </c>
      <c r="H387" t="str">
        <f>VLOOKUP(InputData4[[#This Row],[PRODUCT ID]],MasterData[],3,0)</f>
        <v>Category05</v>
      </c>
      <c r="I387" t="str">
        <f>VLOOKUP(InputData4[[#This Row],[PRODUCT ID]],MasterData[],4,0)</f>
        <v>Kg</v>
      </c>
      <c r="J387" s="9">
        <f>VLOOKUP(InputData4[[#This Row],[PRODUCT ID]],MasterData[],5,0)</f>
        <v>90</v>
      </c>
      <c r="K387" s="9">
        <f>VLOOKUP(InputData4[[#This Row],[PRODUCT ID]],MasterData[],6,0)</f>
        <v>115.2</v>
      </c>
      <c r="L387" s="9">
        <f>InputData4[[#This Row],[QUANTITY]]*InputData4[[#This Row],[BUYING PRIZE]]</f>
        <v>900</v>
      </c>
      <c r="M387" s="9">
        <f>InputData4[[#This Row],[QUANTITY]]*InputData4[[#This Row],[SELLING PRICE]]*(1-InputData4[[#This Row],[DISCOUNT %]])</f>
        <v>1152</v>
      </c>
      <c r="N387" s="7">
        <f>DAY(InputData4[[#This Row],[DATE]])</f>
        <v>22</v>
      </c>
      <c r="O387" s="7">
        <f>MONTH(InputData4[[#This Row],[DATE]])</f>
        <v>6</v>
      </c>
      <c r="P387" s="7">
        <f>YEAR(InputData4[[#This Row],[DATE]])</f>
        <v>2022</v>
      </c>
    </row>
    <row r="388" spans="1:16" x14ac:dyDescent="0.3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  <c r="G388" t="str">
        <f>VLOOKUP(InputData4[[#This Row],[PRODUCT ID]],MasterData[],2,0)</f>
        <v>Product01</v>
      </c>
      <c r="H388" t="str">
        <f>VLOOKUP(InputData4[[#This Row],[PRODUCT ID]],MasterData[],3,0)</f>
        <v>Category01</v>
      </c>
      <c r="I388" t="str">
        <f>VLOOKUP(InputData4[[#This Row],[PRODUCT ID]],MasterData[],4,0)</f>
        <v>Kg</v>
      </c>
      <c r="J388" s="9">
        <f>VLOOKUP(InputData4[[#This Row],[PRODUCT ID]],MasterData[],5,0)</f>
        <v>98</v>
      </c>
      <c r="K388" s="9">
        <f>VLOOKUP(InputData4[[#This Row],[PRODUCT ID]],MasterData[],6,0)</f>
        <v>103.88</v>
      </c>
      <c r="L388" s="9">
        <f>InputData4[[#This Row],[QUANTITY]]*InputData4[[#This Row],[BUYING PRIZE]]</f>
        <v>392</v>
      </c>
      <c r="M388" s="9">
        <f>InputData4[[#This Row],[QUANTITY]]*InputData4[[#This Row],[SELLING PRICE]]*(1-InputData4[[#This Row],[DISCOUNT %]])</f>
        <v>415.52</v>
      </c>
      <c r="N388" s="7">
        <f>DAY(InputData4[[#This Row],[DATE]])</f>
        <v>22</v>
      </c>
      <c r="O388" s="7">
        <f>MONTH(InputData4[[#This Row],[DATE]])</f>
        <v>6</v>
      </c>
      <c r="P388" s="7">
        <f>YEAR(InputData4[[#This Row],[DATE]])</f>
        <v>2022</v>
      </c>
    </row>
    <row r="389" spans="1:16" x14ac:dyDescent="0.3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  <c r="G389" t="str">
        <f>VLOOKUP(InputData4[[#This Row],[PRODUCT ID]],MasterData[],2,0)</f>
        <v>Product04</v>
      </c>
      <c r="H389" t="str">
        <f>VLOOKUP(InputData4[[#This Row],[PRODUCT ID]],MasterData[],3,0)</f>
        <v>Category01</v>
      </c>
      <c r="I389" t="str">
        <f>VLOOKUP(InputData4[[#This Row],[PRODUCT ID]],MasterData[],4,0)</f>
        <v>Lt</v>
      </c>
      <c r="J389" s="9">
        <f>VLOOKUP(InputData4[[#This Row],[PRODUCT ID]],MasterData[],5,0)</f>
        <v>44</v>
      </c>
      <c r="K389" s="9">
        <f>VLOOKUP(InputData4[[#This Row],[PRODUCT ID]],MasterData[],6,0)</f>
        <v>48.84</v>
      </c>
      <c r="L389" s="9">
        <f>InputData4[[#This Row],[QUANTITY]]*InputData4[[#This Row],[BUYING PRIZE]]</f>
        <v>352</v>
      </c>
      <c r="M389" s="9">
        <f>InputData4[[#This Row],[QUANTITY]]*InputData4[[#This Row],[SELLING PRICE]]*(1-InputData4[[#This Row],[DISCOUNT %]])</f>
        <v>390.72</v>
      </c>
      <c r="N389" s="7">
        <f>DAY(InputData4[[#This Row],[DATE]])</f>
        <v>23</v>
      </c>
      <c r="O389" s="7">
        <f>MONTH(InputData4[[#This Row],[DATE]])</f>
        <v>6</v>
      </c>
      <c r="P389" s="7">
        <f>YEAR(InputData4[[#This Row],[DATE]])</f>
        <v>2022</v>
      </c>
    </row>
    <row r="390" spans="1:16" x14ac:dyDescent="0.3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  <c r="G390" t="str">
        <f>VLOOKUP(InputData4[[#This Row],[PRODUCT ID]],MasterData[],2,0)</f>
        <v>Product18</v>
      </c>
      <c r="H390" t="str">
        <f>VLOOKUP(InputData4[[#This Row],[PRODUCT ID]],MasterData[],3,0)</f>
        <v>Category02</v>
      </c>
      <c r="I390" t="str">
        <f>VLOOKUP(InputData4[[#This Row],[PRODUCT ID]],MasterData[],4,0)</f>
        <v>No.</v>
      </c>
      <c r="J390" s="9">
        <f>VLOOKUP(InputData4[[#This Row],[PRODUCT ID]],MasterData[],5,0)</f>
        <v>37</v>
      </c>
      <c r="K390" s="9">
        <f>VLOOKUP(InputData4[[#This Row],[PRODUCT ID]],MasterData[],6,0)</f>
        <v>49.21</v>
      </c>
      <c r="L390" s="9">
        <f>InputData4[[#This Row],[QUANTITY]]*InputData4[[#This Row],[BUYING PRIZE]]</f>
        <v>259</v>
      </c>
      <c r="M390" s="9">
        <f>InputData4[[#This Row],[QUANTITY]]*InputData4[[#This Row],[SELLING PRICE]]*(1-InputData4[[#This Row],[DISCOUNT %]])</f>
        <v>344.47</v>
      </c>
      <c r="N390" s="7">
        <f>DAY(InputData4[[#This Row],[DATE]])</f>
        <v>24</v>
      </c>
      <c r="O390" s="7">
        <f>MONTH(InputData4[[#This Row],[DATE]])</f>
        <v>6</v>
      </c>
      <c r="P390" s="7">
        <f>YEAR(InputData4[[#This Row],[DATE]])</f>
        <v>2022</v>
      </c>
    </row>
    <row r="391" spans="1:16" x14ac:dyDescent="0.3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  <c r="G391" t="str">
        <f>VLOOKUP(InputData4[[#This Row],[PRODUCT ID]],MasterData[],2,0)</f>
        <v>Product12</v>
      </c>
      <c r="H391" t="str">
        <f>VLOOKUP(InputData4[[#This Row],[PRODUCT ID]],MasterData[],3,0)</f>
        <v>Category02</v>
      </c>
      <c r="I391" t="str">
        <f>VLOOKUP(InputData4[[#This Row],[PRODUCT ID]],MasterData[],4,0)</f>
        <v>Kg</v>
      </c>
      <c r="J391" s="9">
        <f>VLOOKUP(InputData4[[#This Row],[PRODUCT ID]],MasterData[],5,0)</f>
        <v>73</v>
      </c>
      <c r="K391" s="9">
        <f>VLOOKUP(InputData4[[#This Row],[PRODUCT ID]],MasterData[],6,0)</f>
        <v>94.17</v>
      </c>
      <c r="L391" s="9">
        <f>InputData4[[#This Row],[QUANTITY]]*InputData4[[#This Row],[BUYING PRIZE]]</f>
        <v>511</v>
      </c>
      <c r="M391" s="9">
        <f>InputData4[[#This Row],[QUANTITY]]*InputData4[[#This Row],[SELLING PRICE]]*(1-InputData4[[#This Row],[DISCOUNT %]])</f>
        <v>659.19</v>
      </c>
      <c r="N391" s="7">
        <f>DAY(InputData4[[#This Row],[DATE]])</f>
        <v>25</v>
      </c>
      <c r="O391" s="7">
        <f>MONTH(InputData4[[#This Row],[DATE]])</f>
        <v>6</v>
      </c>
      <c r="P391" s="7">
        <f>YEAR(InputData4[[#This Row],[DATE]])</f>
        <v>2022</v>
      </c>
    </row>
    <row r="392" spans="1:16" x14ac:dyDescent="0.3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  <c r="G392" t="str">
        <f>VLOOKUP(InputData4[[#This Row],[PRODUCT ID]],MasterData[],2,0)</f>
        <v>Product34</v>
      </c>
      <c r="H392" t="str">
        <f>VLOOKUP(InputData4[[#This Row],[PRODUCT ID]],MasterData[],3,0)</f>
        <v>Category04</v>
      </c>
      <c r="I392" t="str">
        <f>VLOOKUP(InputData4[[#This Row],[PRODUCT ID]],MasterData[],4,0)</f>
        <v>Lt</v>
      </c>
      <c r="J392" s="9">
        <f>VLOOKUP(InputData4[[#This Row],[PRODUCT ID]],MasterData[],5,0)</f>
        <v>55</v>
      </c>
      <c r="K392" s="9">
        <f>VLOOKUP(InputData4[[#This Row],[PRODUCT ID]],MasterData[],6,0)</f>
        <v>58.3</v>
      </c>
      <c r="L392" s="9">
        <f>InputData4[[#This Row],[QUANTITY]]*InputData4[[#This Row],[BUYING PRIZE]]</f>
        <v>220</v>
      </c>
      <c r="M392" s="9">
        <f>InputData4[[#This Row],[QUANTITY]]*InputData4[[#This Row],[SELLING PRICE]]*(1-InputData4[[#This Row],[DISCOUNT %]])</f>
        <v>233.2</v>
      </c>
      <c r="N392" s="7">
        <f>DAY(InputData4[[#This Row],[DATE]])</f>
        <v>26</v>
      </c>
      <c r="O392" s="7">
        <f>MONTH(InputData4[[#This Row],[DATE]])</f>
        <v>6</v>
      </c>
      <c r="P392" s="7">
        <f>YEAR(InputData4[[#This Row],[DATE]])</f>
        <v>2022</v>
      </c>
    </row>
    <row r="393" spans="1:16" x14ac:dyDescent="0.3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  <c r="G393" t="str">
        <f>VLOOKUP(InputData4[[#This Row],[PRODUCT ID]],MasterData[],2,0)</f>
        <v>Product43</v>
      </c>
      <c r="H393" t="str">
        <f>VLOOKUP(InputData4[[#This Row],[PRODUCT ID]],MasterData[],3,0)</f>
        <v>Category05</v>
      </c>
      <c r="I393" t="str">
        <f>VLOOKUP(InputData4[[#This Row],[PRODUCT ID]],MasterData[],4,0)</f>
        <v>Kg</v>
      </c>
      <c r="J393" s="9">
        <f>VLOOKUP(InputData4[[#This Row],[PRODUCT ID]],MasterData[],5,0)</f>
        <v>67</v>
      </c>
      <c r="K393" s="9">
        <f>VLOOKUP(InputData4[[#This Row],[PRODUCT ID]],MasterData[],6,0)</f>
        <v>83.08</v>
      </c>
      <c r="L393" s="9">
        <f>InputData4[[#This Row],[QUANTITY]]*InputData4[[#This Row],[BUYING PRIZE]]</f>
        <v>804</v>
      </c>
      <c r="M393" s="9">
        <f>InputData4[[#This Row],[QUANTITY]]*InputData4[[#This Row],[SELLING PRICE]]*(1-InputData4[[#This Row],[DISCOUNT %]])</f>
        <v>996.96</v>
      </c>
      <c r="N393" s="7">
        <f>DAY(InputData4[[#This Row],[DATE]])</f>
        <v>26</v>
      </c>
      <c r="O393" s="7">
        <f>MONTH(InputData4[[#This Row],[DATE]])</f>
        <v>6</v>
      </c>
      <c r="P393" s="7">
        <f>YEAR(InputData4[[#This Row],[DATE]])</f>
        <v>2022</v>
      </c>
    </row>
    <row r="394" spans="1:16" x14ac:dyDescent="0.3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  <c r="G394" t="str">
        <f>VLOOKUP(InputData4[[#This Row],[PRODUCT ID]],MasterData[],2,0)</f>
        <v>Product33</v>
      </c>
      <c r="H394" t="str">
        <f>VLOOKUP(InputData4[[#This Row],[PRODUCT ID]],MasterData[],3,0)</f>
        <v>Category04</v>
      </c>
      <c r="I394" t="str">
        <f>VLOOKUP(InputData4[[#This Row],[PRODUCT ID]],MasterData[],4,0)</f>
        <v>Kg</v>
      </c>
      <c r="J394" s="9">
        <f>VLOOKUP(InputData4[[#This Row],[PRODUCT ID]],MasterData[],5,0)</f>
        <v>95</v>
      </c>
      <c r="K394" s="9">
        <f>VLOOKUP(InputData4[[#This Row],[PRODUCT ID]],MasterData[],6,0)</f>
        <v>119.7</v>
      </c>
      <c r="L394" s="9">
        <f>InputData4[[#This Row],[QUANTITY]]*InputData4[[#This Row],[BUYING PRIZE]]</f>
        <v>1425</v>
      </c>
      <c r="M394" s="9">
        <f>InputData4[[#This Row],[QUANTITY]]*InputData4[[#This Row],[SELLING PRICE]]*(1-InputData4[[#This Row],[DISCOUNT %]])</f>
        <v>1795.5</v>
      </c>
      <c r="N394" s="7">
        <f>DAY(InputData4[[#This Row],[DATE]])</f>
        <v>3</v>
      </c>
      <c r="O394" s="7">
        <f>MONTH(InputData4[[#This Row],[DATE]])</f>
        <v>7</v>
      </c>
      <c r="P394" s="7">
        <f>YEAR(InputData4[[#This Row],[DATE]])</f>
        <v>2022</v>
      </c>
    </row>
    <row r="395" spans="1:16" x14ac:dyDescent="0.3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  <c r="G395" t="str">
        <f>VLOOKUP(InputData4[[#This Row],[PRODUCT ID]],MasterData[],2,0)</f>
        <v>Product07</v>
      </c>
      <c r="H395" t="str">
        <f>VLOOKUP(InputData4[[#This Row],[PRODUCT ID]],MasterData[],3,0)</f>
        <v>Category01</v>
      </c>
      <c r="I395" t="str">
        <f>VLOOKUP(InputData4[[#This Row],[PRODUCT ID]],MasterData[],4,0)</f>
        <v>Lt</v>
      </c>
      <c r="J395" s="9">
        <f>VLOOKUP(InputData4[[#This Row],[PRODUCT ID]],MasterData[],5,0)</f>
        <v>43</v>
      </c>
      <c r="K395" s="9">
        <f>VLOOKUP(InputData4[[#This Row],[PRODUCT ID]],MasterData[],6,0)</f>
        <v>47.730000000000004</v>
      </c>
      <c r="L395" s="9">
        <f>InputData4[[#This Row],[QUANTITY]]*InputData4[[#This Row],[BUYING PRIZE]]</f>
        <v>301</v>
      </c>
      <c r="M395" s="9">
        <f>InputData4[[#This Row],[QUANTITY]]*InputData4[[#This Row],[SELLING PRICE]]*(1-InputData4[[#This Row],[DISCOUNT %]])</f>
        <v>334.11</v>
      </c>
      <c r="N395" s="7">
        <f>DAY(InputData4[[#This Row],[DATE]])</f>
        <v>4</v>
      </c>
      <c r="O395" s="7">
        <f>MONTH(InputData4[[#This Row],[DATE]])</f>
        <v>7</v>
      </c>
      <c r="P395" s="7">
        <f>YEAR(InputData4[[#This Row],[DATE]])</f>
        <v>2022</v>
      </c>
    </row>
    <row r="396" spans="1:16" x14ac:dyDescent="0.3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  <c r="G396" t="str">
        <f>VLOOKUP(InputData4[[#This Row],[PRODUCT ID]],MasterData[],2,0)</f>
        <v>Product25</v>
      </c>
      <c r="H396" t="str">
        <f>VLOOKUP(InputData4[[#This Row],[PRODUCT ID]],MasterData[],3,0)</f>
        <v>Category03</v>
      </c>
      <c r="I396" t="str">
        <f>VLOOKUP(InputData4[[#This Row],[PRODUCT ID]],MasterData[],4,0)</f>
        <v>No.</v>
      </c>
      <c r="J396" s="9">
        <f>VLOOKUP(InputData4[[#This Row],[PRODUCT ID]],MasterData[],5,0)</f>
        <v>7</v>
      </c>
      <c r="K396" s="9">
        <f>VLOOKUP(InputData4[[#This Row],[PRODUCT ID]],MasterData[],6,0)</f>
        <v>8.33</v>
      </c>
      <c r="L396" s="9">
        <f>InputData4[[#This Row],[QUANTITY]]*InputData4[[#This Row],[BUYING PRIZE]]</f>
        <v>49</v>
      </c>
      <c r="M396" s="9">
        <f>InputData4[[#This Row],[QUANTITY]]*InputData4[[#This Row],[SELLING PRICE]]*(1-InputData4[[#This Row],[DISCOUNT %]])</f>
        <v>58.31</v>
      </c>
      <c r="N396" s="7">
        <f>DAY(InputData4[[#This Row],[DATE]])</f>
        <v>5</v>
      </c>
      <c r="O396" s="7">
        <f>MONTH(InputData4[[#This Row],[DATE]])</f>
        <v>7</v>
      </c>
      <c r="P396" s="7">
        <f>YEAR(InputData4[[#This Row],[DATE]])</f>
        <v>2022</v>
      </c>
    </row>
    <row r="397" spans="1:16" x14ac:dyDescent="0.3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  <c r="G397" t="str">
        <f>VLOOKUP(InputData4[[#This Row],[PRODUCT ID]],MasterData[],2,0)</f>
        <v>Product15</v>
      </c>
      <c r="H397" t="str">
        <f>VLOOKUP(InputData4[[#This Row],[PRODUCT ID]],MasterData[],3,0)</f>
        <v>Category02</v>
      </c>
      <c r="I397" t="str">
        <f>VLOOKUP(InputData4[[#This Row],[PRODUCT ID]],MasterData[],4,0)</f>
        <v>No.</v>
      </c>
      <c r="J397" s="9">
        <f>VLOOKUP(InputData4[[#This Row],[PRODUCT ID]],MasterData[],5,0)</f>
        <v>12</v>
      </c>
      <c r="K397" s="9">
        <f>VLOOKUP(InputData4[[#This Row],[PRODUCT ID]],MasterData[],6,0)</f>
        <v>15.719999999999999</v>
      </c>
      <c r="L397" s="9">
        <f>InputData4[[#This Row],[QUANTITY]]*InputData4[[#This Row],[BUYING PRIZE]]</f>
        <v>96</v>
      </c>
      <c r="M397" s="9">
        <f>InputData4[[#This Row],[QUANTITY]]*InputData4[[#This Row],[SELLING PRICE]]*(1-InputData4[[#This Row],[DISCOUNT %]])</f>
        <v>125.75999999999999</v>
      </c>
      <c r="N397" s="7">
        <f>DAY(InputData4[[#This Row],[DATE]])</f>
        <v>5</v>
      </c>
      <c r="O397" s="7">
        <f>MONTH(InputData4[[#This Row],[DATE]])</f>
        <v>7</v>
      </c>
      <c r="P397" s="7">
        <f>YEAR(InputData4[[#This Row],[DATE]])</f>
        <v>2022</v>
      </c>
    </row>
    <row r="398" spans="1:16" x14ac:dyDescent="0.3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  <c r="G398" t="str">
        <f>VLOOKUP(InputData4[[#This Row],[PRODUCT ID]],MasterData[],2,0)</f>
        <v>Product41</v>
      </c>
      <c r="H398" t="str">
        <f>VLOOKUP(InputData4[[#This Row],[PRODUCT ID]],MasterData[],3,0)</f>
        <v>Category05</v>
      </c>
      <c r="I398" t="str">
        <f>VLOOKUP(InputData4[[#This Row],[PRODUCT ID]],MasterData[],4,0)</f>
        <v>Ft</v>
      </c>
      <c r="J398" s="9">
        <f>VLOOKUP(InputData4[[#This Row],[PRODUCT ID]],MasterData[],5,0)</f>
        <v>138</v>
      </c>
      <c r="K398" s="9">
        <f>VLOOKUP(InputData4[[#This Row],[PRODUCT ID]],MasterData[],6,0)</f>
        <v>173.88</v>
      </c>
      <c r="L398" s="9">
        <f>InputData4[[#This Row],[QUANTITY]]*InputData4[[#This Row],[BUYING PRIZE]]</f>
        <v>276</v>
      </c>
      <c r="M398" s="9">
        <f>InputData4[[#This Row],[QUANTITY]]*InputData4[[#This Row],[SELLING PRICE]]*(1-InputData4[[#This Row],[DISCOUNT %]])</f>
        <v>347.76</v>
      </c>
      <c r="N398" s="7">
        <f>DAY(InputData4[[#This Row],[DATE]])</f>
        <v>6</v>
      </c>
      <c r="O398" s="7">
        <f>MONTH(InputData4[[#This Row],[DATE]])</f>
        <v>7</v>
      </c>
      <c r="P398" s="7">
        <f>YEAR(InputData4[[#This Row],[DATE]])</f>
        <v>2022</v>
      </c>
    </row>
    <row r="399" spans="1:16" x14ac:dyDescent="0.3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  <c r="G399" t="str">
        <f>VLOOKUP(InputData4[[#This Row],[PRODUCT ID]],MasterData[],2,0)</f>
        <v>Product18</v>
      </c>
      <c r="H399" t="str">
        <f>VLOOKUP(InputData4[[#This Row],[PRODUCT ID]],MasterData[],3,0)</f>
        <v>Category02</v>
      </c>
      <c r="I399" t="str">
        <f>VLOOKUP(InputData4[[#This Row],[PRODUCT ID]],MasterData[],4,0)</f>
        <v>No.</v>
      </c>
      <c r="J399" s="9">
        <f>VLOOKUP(InputData4[[#This Row],[PRODUCT ID]],MasterData[],5,0)</f>
        <v>37</v>
      </c>
      <c r="K399" s="9">
        <f>VLOOKUP(InputData4[[#This Row],[PRODUCT ID]],MasterData[],6,0)</f>
        <v>49.21</v>
      </c>
      <c r="L399" s="9">
        <f>InputData4[[#This Row],[QUANTITY]]*InputData4[[#This Row],[BUYING PRIZE]]</f>
        <v>74</v>
      </c>
      <c r="M399" s="9">
        <f>InputData4[[#This Row],[QUANTITY]]*InputData4[[#This Row],[SELLING PRICE]]*(1-InputData4[[#This Row],[DISCOUNT %]])</f>
        <v>98.42</v>
      </c>
      <c r="N399" s="7">
        <f>DAY(InputData4[[#This Row],[DATE]])</f>
        <v>8</v>
      </c>
      <c r="O399" s="7">
        <f>MONTH(InputData4[[#This Row],[DATE]])</f>
        <v>7</v>
      </c>
      <c r="P399" s="7">
        <f>YEAR(InputData4[[#This Row],[DATE]])</f>
        <v>2022</v>
      </c>
    </row>
    <row r="400" spans="1:16" x14ac:dyDescent="0.3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  <c r="G400" t="str">
        <f>VLOOKUP(InputData4[[#This Row],[PRODUCT ID]],MasterData[],2,0)</f>
        <v>Product32</v>
      </c>
      <c r="H400" t="str">
        <f>VLOOKUP(InputData4[[#This Row],[PRODUCT ID]],MasterData[],3,0)</f>
        <v>Category04</v>
      </c>
      <c r="I400" t="str">
        <f>VLOOKUP(InputData4[[#This Row],[PRODUCT ID]],MasterData[],4,0)</f>
        <v>Kg</v>
      </c>
      <c r="J400" s="9">
        <f>VLOOKUP(InputData4[[#This Row],[PRODUCT ID]],MasterData[],5,0)</f>
        <v>89</v>
      </c>
      <c r="K400" s="9">
        <f>VLOOKUP(InputData4[[#This Row],[PRODUCT ID]],MasterData[],6,0)</f>
        <v>117.48</v>
      </c>
      <c r="L400" s="9">
        <f>InputData4[[#This Row],[QUANTITY]]*InputData4[[#This Row],[BUYING PRIZE]]</f>
        <v>1068</v>
      </c>
      <c r="M400" s="9">
        <f>InputData4[[#This Row],[QUANTITY]]*InputData4[[#This Row],[SELLING PRICE]]*(1-InputData4[[#This Row],[DISCOUNT %]])</f>
        <v>1409.76</v>
      </c>
      <c r="N400" s="7">
        <f>DAY(InputData4[[#This Row],[DATE]])</f>
        <v>10</v>
      </c>
      <c r="O400" s="7">
        <f>MONTH(InputData4[[#This Row],[DATE]])</f>
        <v>7</v>
      </c>
      <c r="P400" s="7">
        <f>YEAR(InputData4[[#This Row],[DATE]])</f>
        <v>2022</v>
      </c>
    </row>
    <row r="401" spans="1:16" x14ac:dyDescent="0.3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  <c r="G401" t="str">
        <f>VLOOKUP(InputData4[[#This Row],[PRODUCT ID]],MasterData[],2,0)</f>
        <v>Product28</v>
      </c>
      <c r="H401" t="str">
        <f>VLOOKUP(InputData4[[#This Row],[PRODUCT ID]],MasterData[],3,0)</f>
        <v>Category04</v>
      </c>
      <c r="I401" t="str">
        <f>VLOOKUP(InputData4[[#This Row],[PRODUCT ID]],MasterData[],4,0)</f>
        <v>No.</v>
      </c>
      <c r="J401" s="9">
        <f>VLOOKUP(InputData4[[#This Row],[PRODUCT ID]],MasterData[],5,0)</f>
        <v>37</v>
      </c>
      <c r="K401" s="9">
        <f>VLOOKUP(InputData4[[#This Row],[PRODUCT ID]],MasterData[],6,0)</f>
        <v>41.81</v>
      </c>
      <c r="L401" s="9">
        <f>InputData4[[#This Row],[QUANTITY]]*InputData4[[#This Row],[BUYING PRIZE]]</f>
        <v>444</v>
      </c>
      <c r="M401" s="9">
        <f>InputData4[[#This Row],[QUANTITY]]*InputData4[[#This Row],[SELLING PRICE]]*(1-InputData4[[#This Row],[DISCOUNT %]])</f>
        <v>501.72</v>
      </c>
      <c r="N401" s="7">
        <f>DAY(InputData4[[#This Row],[DATE]])</f>
        <v>12</v>
      </c>
      <c r="O401" s="7">
        <f>MONTH(InputData4[[#This Row],[DATE]])</f>
        <v>7</v>
      </c>
      <c r="P401" s="7">
        <f>YEAR(InputData4[[#This Row],[DATE]])</f>
        <v>2022</v>
      </c>
    </row>
    <row r="402" spans="1:16" x14ac:dyDescent="0.3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  <c r="G402" t="str">
        <f>VLOOKUP(InputData4[[#This Row],[PRODUCT ID]],MasterData[],2,0)</f>
        <v>Product25</v>
      </c>
      <c r="H402" t="str">
        <f>VLOOKUP(InputData4[[#This Row],[PRODUCT ID]],MasterData[],3,0)</f>
        <v>Category03</v>
      </c>
      <c r="I402" t="str">
        <f>VLOOKUP(InputData4[[#This Row],[PRODUCT ID]],MasterData[],4,0)</f>
        <v>No.</v>
      </c>
      <c r="J402" s="9">
        <f>VLOOKUP(InputData4[[#This Row],[PRODUCT ID]],MasterData[],5,0)</f>
        <v>7</v>
      </c>
      <c r="K402" s="9">
        <f>VLOOKUP(InputData4[[#This Row],[PRODUCT ID]],MasterData[],6,0)</f>
        <v>8.33</v>
      </c>
      <c r="L402" s="9">
        <f>InputData4[[#This Row],[QUANTITY]]*InputData4[[#This Row],[BUYING PRIZE]]</f>
        <v>49</v>
      </c>
      <c r="M402" s="9">
        <f>InputData4[[#This Row],[QUANTITY]]*InputData4[[#This Row],[SELLING PRICE]]*(1-InputData4[[#This Row],[DISCOUNT %]])</f>
        <v>58.31</v>
      </c>
      <c r="N402" s="7">
        <f>DAY(InputData4[[#This Row],[DATE]])</f>
        <v>13</v>
      </c>
      <c r="O402" s="7">
        <f>MONTH(InputData4[[#This Row],[DATE]])</f>
        <v>7</v>
      </c>
      <c r="P402" s="7">
        <f>YEAR(InputData4[[#This Row],[DATE]])</f>
        <v>2022</v>
      </c>
    </row>
    <row r="403" spans="1:16" x14ac:dyDescent="0.3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  <c r="G403" t="str">
        <f>VLOOKUP(InputData4[[#This Row],[PRODUCT ID]],MasterData[],2,0)</f>
        <v>Product33</v>
      </c>
      <c r="H403" t="str">
        <f>VLOOKUP(InputData4[[#This Row],[PRODUCT ID]],MasterData[],3,0)</f>
        <v>Category04</v>
      </c>
      <c r="I403" t="str">
        <f>VLOOKUP(InputData4[[#This Row],[PRODUCT ID]],MasterData[],4,0)</f>
        <v>Kg</v>
      </c>
      <c r="J403" s="9">
        <f>VLOOKUP(InputData4[[#This Row],[PRODUCT ID]],MasterData[],5,0)</f>
        <v>95</v>
      </c>
      <c r="K403" s="9">
        <f>VLOOKUP(InputData4[[#This Row],[PRODUCT ID]],MasterData[],6,0)</f>
        <v>119.7</v>
      </c>
      <c r="L403" s="9">
        <f>InputData4[[#This Row],[QUANTITY]]*InputData4[[#This Row],[BUYING PRIZE]]</f>
        <v>855</v>
      </c>
      <c r="M403" s="9">
        <f>InputData4[[#This Row],[QUANTITY]]*InputData4[[#This Row],[SELLING PRICE]]*(1-InputData4[[#This Row],[DISCOUNT %]])</f>
        <v>1077.3</v>
      </c>
      <c r="N403" s="7">
        <f>DAY(InputData4[[#This Row],[DATE]])</f>
        <v>14</v>
      </c>
      <c r="O403" s="7">
        <f>MONTH(InputData4[[#This Row],[DATE]])</f>
        <v>7</v>
      </c>
      <c r="P403" s="7">
        <f>YEAR(InputData4[[#This Row],[DATE]])</f>
        <v>2022</v>
      </c>
    </row>
    <row r="404" spans="1:16" x14ac:dyDescent="0.3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  <c r="G404" t="str">
        <f>VLOOKUP(InputData4[[#This Row],[PRODUCT ID]],MasterData[],2,0)</f>
        <v>Product04</v>
      </c>
      <c r="H404" t="str">
        <f>VLOOKUP(InputData4[[#This Row],[PRODUCT ID]],MasterData[],3,0)</f>
        <v>Category01</v>
      </c>
      <c r="I404" t="str">
        <f>VLOOKUP(InputData4[[#This Row],[PRODUCT ID]],MasterData[],4,0)</f>
        <v>Lt</v>
      </c>
      <c r="J404" s="9">
        <f>VLOOKUP(InputData4[[#This Row],[PRODUCT ID]],MasterData[],5,0)</f>
        <v>44</v>
      </c>
      <c r="K404" s="9">
        <f>VLOOKUP(InputData4[[#This Row],[PRODUCT ID]],MasterData[],6,0)</f>
        <v>48.84</v>
      </c>
      <c r="L404" s="9">
        <f>InputData4[[#This Row],[QUANTITY]]*InputData4[[#This Row],[BUYING PRIZE]]</f>
        <v>88</v>
      </c>
      <c r="M404" s="9">
        <f>InputData4[[#This Row],[QUANTITY]]*InputData4[[#This Row],[SELLING PRICE]]*(1-InputData4[[#This Row],[DISCOUNT %]])</f>
        <v>97.68</v>
      </c>
      <c r="N404" s="7">
        <f>DAY(InputData4[[#This Row],[DATE]])</f>
        <v>15</v>
      </c>
      <c r="O404" s="7">
        <f>MONTH(InputData4[[#This Row],[DATE]])</f>
        <v>7</v>
      </c>
      <c r="P404" s="7">
        <f>YEAR(InputData4[[#This Row],[DATE]])</f>
        <v>2022</v>
      </c>
    </row>
    <row r="405" spans="1:16" x14ac:dyDescent="0.3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  <c r="G405" t="str">
        <f>VLOOKUP(InputData4[[#This Row],[PRODUCT ID]],MasterData[],2,0)</f>
        <v>Product41</v>
      </c>
      <c r="H405" t="str">
        <f>VLOOKUP(InputData4[[#This Row],[PRODUCT ID]],MasterData[],3,0)</f>
        <v>Category05</v>
      </c>
      <c r="I405" t="str">
        <f>VLOOKUP(InputData4[[#This Row],[PRODUCT ID]],MasterData[],4,0)</f>
        <v>Ft</v>
      </c>
      <c r="J405" s="9">
        <f>VLOOKUP(InputData4[[#This Row],[PRODUCT ID]],MasterData[],5,0)</f>
        <v>138</v>
      </c>
      <c r="K405" s="9">
        <f>VLOOKUP(InputData4[[#This Row],[PRODUCT ID]],MasterData[],6,0)</f>
        <v>173.88</v>
      </c>
      <c r="L405" s="9">
        <f>InputData4[[#This Row],[QUANTITY]]*InputData4[[#This Row],[BUYING PRIZE]]</f>
        <v>1104</v>
      </c>
      <c r="M405" s="9">
        <f>InputData4[[#This Row],[QUANTITY]]*InputData4[[#This Row],[SELLING PRICE]]*(1-InputData4[[#This Row],[DISCOUNT %]])</f>
        <v>1391.04</v>
      </c>
      <c r="N405" s="7">
        <f>DAY(InputData4[[#This Row],[DATE]])</f>
        <v>17</v>
      </c>
      <c r="O405" s="7">
        <f>MONTH(InputData4[[#This Row],[DATE]])</f>
        <v>7</v>
      </c>
      <c r="P405" s="7">
        <f>YEAR(InputData4[[#This Row],[DATE]])</f>
        <v>2022</v>
      </c>
    </row>
    <row r="406" spans="1:16" x14ac:dyDescent="0.3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  <c r="G406" t="str">
        <f>VLOOKUP(InputData4[[#This Row],[PRODUCT ID]],MasterData[],2,0)</f>
        <v>Product10</v>
      </c>
      <c r="H406" t="str">
        <f>VLOOKUP(InputData4[[#This Row],[PRODUCT ID]],MasterData[],3,0)</f>
        <v>Category02</v>
      </c>
      <c r="I406" t="str">
        <f>VLOOKUP(InputData4[[#This Row],[PRODUCT ID]],MasterData[],4,0)</f>
        <v>Ft</v>
      </c>
      <c r="J406" s="9">
        <f>VLOOKUP(InputData4[[#This Row],[PRODUCT ID]],MasterData[],5,0)</f>
        <v>148</v>
      </c>
      <c r="K406" s="9">
        <f>VLOOKUP(InputData4[[#This Row],[PRODUCT ID]],MasterData[],6,0)</f>
        <v>164.28</v>
      </c>
      <c r="L406" s="9">
        <f>InputData4[[#This Row],[QUANTITY]]*InputData4[[#This Row],[BUYING PRIZE]]</f>
        <v>1776</v>
      </c>
      <c r="M406" s="9">
        <f>InputData4[[#This Row],[QUANTITY]]*InputData4[[#This Row],[SELLING PRICE]]*(1-InputData4[[#This Row],[DISCOUNT %]])</f>
        <v>1971.3600000000001</v>
      </c>
      <c r="N406" s="7">
        <f>DAY(InputData4[[#This Row],[DATE]])</f>
        <v>18</v>
      </c>
      <c r="O406" s="7">
        <f>MONTH(InputData4[[#This Row],[DATE]])</f>
        <v>7</v>
      </c>
      <c r="P406" s="7">
        <f>YEAR(InputData4[[#This Row],[DATE]])</f>
        <v>2022</v>
      </c>
    </row>
    <row r="407" spans="1:16" x14ac:dyDescent="0.3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  <c r="G407" t="str">
        <f>VLOOKUP(InputData4[[#This Row],[PRODUCT ID]],MasterData[],2,0)</f>
        <v>Product42</v>
      </c>
      <c r="H407" t="str">
        <f>VLOOKUP(InputData4[[#This Row],[PRODUCT ID]],MasterData[],3,0)</f>
        <v>Category05</v>
      </c>
      <c r="I407" t="str">
        <f>VLOOKUP(InputData4[[#This Row],[PRODUCT ID]],MasterData[],4,0)</f>
        <v>Ft</v>
      </c>
      <c r="J407" s="9">
        <f>VLOOKUP(InputData4[[#This Row],[PRODUCT ID]],MasterData[],5,0)</f>
        <v>120</v>
      </c>
      <c r="K407" s="9">
        <f>VLOOKUP(InputData4[[#This Row],[PRODUCT ID]],MasterData[],6,0)</f>
        <v>162</v>
      </c>
      <c r="L407" s="9">
        <f>InputData4[[#This Row],[QUANTITY]]*InputData4[[#This Row],[BUYING PRIZE]]</f>
        <v>960</v>
      </c>
      <c r="M407" s="9">
        <f>InputData4[[#This Row],[QUANTITY]]*InputData4[[#This Row],[SELLING PRICE]]*(1-InputData4[[#This Row],[DISCOUNT %]])</f>
        <v>1296</v>
      </c>
      <c r="N407" s="7">
        <f>DAY(InputData4[[#This Row],[DATE]])</f>
        <v>20</v>
      </c>
      <c r="O407" s="7">
        <f>MONTH(InputData4[[#This Row],[DATE]])</f>
        <v>7</v>
      </c>
      <c r="P407" s="7">
        <f>YEAR(InputData4[[#This Row],[DATE]])</f>
        <v>2022</v>
      </c>
    </row>
    <row r="408" spans="1:16" x14ac:dyDescent="0.3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  <c r="G408" t="str">
        <f>VLOOKUP(InputData4[[#This Row],[PRODUCT ID]],MasterData[],2,0)</f>
        <v>Product34</v>
      </c>
      <c r="H408" t="str">
        <f>VLOOKUP(InputData4[[#This Row],[PRODUCT ID]],MasterData[],3,0)</f>
        <v>Category04</v>
      </c>
      <c r="I408" t="str">
        <f>VLOOKUP(InputData4[[#This Row],[PRODUCT ID]],MasterData[],4,0)</f>
        <v>Lt</v>
      </c>
      <c r="J408" s="9">
        <f>VLOOKUP(InputData4[[#This Row],[PRODUCT ID]],MasterData[],5,0)</f>
        <v>55</v>
      </c>
      <c r="K408" s="9">
        <f>VLOOKUP(InputData4[[#This Row],[PRODUCT ID]],MasterData[],6,0)</f>
        <v>58.3</v>
      </c>
      <c r="L408" s="9">
        <f>InputData4[[#This Row],[QUANTITY]]*InputData4[[#This Row],[BUYING PRIZE]]</f>
        <v>330</v>
      </c>
      <c r="M408" s="9">
        <f>InputData4[[#This Row],[QUANTITY]]*InputData4[[#This Row],[SELLING PRICE]]*(1-InputData4[[#This Row],[DISCOUNT %]])</f>
        <v>349.79999999999995</v>
      </c>
      <c r="N408" s="7">
        <f>DAY(InputData4[[#This Row],[DATE]])</f>
        <v>22</v>
      </c>
      <c r="O408" s="7">
        <f>MONTH(InputData4[[#This Row],[DATE]])</f>
        <v>7</v>
      </c>
      <c r="P408" s="7">
        <f>YEAR(InputData4[[#This Row],[DATE]])</f>
        <v>2022</v>
      </c>
    </row>
    <row r="409" spans="1:16" x14ac:dyDescent="0.3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  <c r="G409" t="str">
        <f>VLOOKUP(InputData4[[#This Row],[PRODUCT ID]],MasterData[],2,0)</f>
        <v>Product18</v>
      </c>
      <c r="H409" t="str">
        <f>VLOOKUP(InputData4[[#This Row],[PRODUCT ID]],MasterData[],3,0)</f>
        <v>Category02</v>
      </c>
      <c r="I409" t="str">
        <f>VLOOKUP(InputData4[[#This Row],[PRODUCT ID]],MasterData[],4,0)</f>
        <v>No.</v>
      </c>
      <c r="J409" s="9">
        <f>VLOOKUP(InputData4[[#This Row],[PRODUCT ID]],MasterData[],5,0)</f>
        <v>37</v>
      </c>
      <c r="K409" s="9">
        <f>VLOOKUP(InputData4[[#This Row],[PRODUCT ID]],MasterData[],6,0)</f>
        <v>49.21</v>
      </c>
      <c r="L409" s="9">
        <f>InputData4[[#This Row],[QUANTITY]]*InputData4[[#This Row],[BUYING PRIZE]]</f>
        <v>74</v>
      </c>
      <c r="M409" s="9">
        <f>InputData4[[#This Row],[QUANTITY]]*InputData4[[#This Row],[SELLING PRICE]]*(1-InputData4[[#This Row],[DISCOUNT %]])</f>
        <v>98.42</v>
      </c>
      <c r="N409" s="7">
        <f>DAY(InputData4[[#This Row],[DATE]])</f>
        <v>23</v>
      </c>
      <c r="O409" s="7">
        <f>MONTH(InputData4[[#This Row],[DATE]])</f>
        <v>7</v>
      </c>
      <c r="P409" s="7">
        <f>YEAR(InputData4[[#This Row],[DATE]])</f>
        <v>2022</v>
      </c>
    </row>
    <row r="410" spans="1:16" x14ac:dyDescent="0.3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  <c r="G410" t="str">
        <f>VLOOKUP(InputData4[[#This Row],[PRODUCT ID]],MasterData[],2,0)</f>
        <v>Product06</v>
      </c>
      <c r="H410" t="str">
        <f>VLOOKUP(InputData4[[#This Row],[PRODUCT ID]],MasterData[],3,0)</f>
        <v>Category01</v>
      </c>
      <c r="I410" t="str">
        <f>VLOOKUP(InputData4[[#This Row],[PRODUCT ID]],MasterData[],4,0)</f>
        <v>Kg</v>
      </c>
      <c r="J410" s="9">
        <f>VLOOKUP(InputData4[[#This Row],[PRODUCT ID]],MasterData[],5,0)</f>
        <v>75</v>
      </c>
      <c r="K410" s="9">
        <f>VLOOKUP(InputData4[[#This Row],[PRODUCT ID]],MasterData[],6,0)</f>
        <v>85.5</v>
      </c>
      <c r="L410" s="9">
        <f>InputData4[[#This Row],[QUANTITY]]*InputData4[[#This Row],[BUYING PRIZE]]</f>
        <v>1050</v>
      </c>
      <c r="M410" s="9">
        <f>InputData4[[#This Row],[QUANTITY]]*InputData4[[#This Row],[SELLING PRICE]]*(1-InputData4[[#This Row],[DISCOUNT %]])</f>
        <v>1197</v>
      </c>
      <c r="N410" s="7">
        <f>DAY(InputData4[[#This Row],[DATE]])</f>
        <v>24</v>
      </c>
      <c r="O410" s="7">
        <f>MONTH(InputData4[[#This Row],[DATE]])</f>
        <v>7</v>
      </c>
      <c r="P410" s="7">
        <f>YEAR(InputData4[[#This Row],[DATE]])</f>
        <v>2022</v>
      </c>
    </row>
    <row r="411" spans="1:16" x14ac:dyDescent="0.3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  <c r="G411" t="str">
        <f>VLOOKUP(InputData4[[#This Row],[PRODUCT ID]],MasterData[],2,0)</f>
        <v>Product27</v>
      </c>
      <c r="H411" t="str">
        <f>VLOOKUP(InputData4[[#This Row],[PRODUCT ID]],MasterData[],3,0)</f>
        <v>Category04</v>
      </c>
      <c r="I411" t="str">
        <f>VLOOKUP(InputData4[[#This Row],[PRODUCT ID]],MasterData[],4,0)</f>
        <v>Lt</v>
      </c>
      <c r="J411" s="9">
        <f>VLOOKUP(InputData4[[#This Row],[PRODUCT ID]],MasterData[],5,0)</f>
        <v>48</v>
      </c>
      <c r="K411" s="9">
        <f>VLOOKUP(InputData4[[#This Row],[PRODUCT ID]],MasterData[],6,0)</f>
        <v>57.120000000000005</v>
      </c>
      <c r="L411" s="9">
        <f>InputData4[[#This Row],[QUANTITY]]*InputData4[[#This Row],[BUYING PRIZE]]</f>
        <v>48</v>
      </c>
      <c r="M411" s="9">
        <f>InputData4[[#This Row],[QUANTITY]]*InputData4[[#This Row],[SELLING PRICE]]*(1-InputData4[[#This Row],[DISCOUNT %]])</f>
        <v>57.120000000000005</v>
      </c>
      <c r="N411" s="7">
        <f>DAY(InputData4[[#This Row],[DATE]])</f>
        <v>24</v>
      </c>
      <c r="O411" s="7">
        <f>MONTH(InputData4[[#This Row],[DATE]])</f>
        <v>7</v>
      </c>
      <c r="P411" s="7">
        <f>YEAR(InputData4[[#This Row],[DATE]])</f>
        <v>2022</v>
      </c>
    </row>
    <row r="412" spans="1:16" x14ac:dyDescent="0.3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  <c r="G412" t="str">
        <f>VLOOKUP(InputData4[[#This Row],[PRODUCT ID]],MasterData[],2,0)</f>
        <v>Product44</v>
      </c>
      <c r="H412" t="str">
        <f>VLOOKUP(InputData4[[#This Row],[PRODUCT ID]],MasterData[],3,0)</f>
        <v>Category05</v>
      </c>
      <c r="I412" t="str">
        <f>VLOOKUP(InputData4[[#This Row],[PRODUCT ID]],MasterData[],4,0)</f>
        <v>Kg</v>
      </c>
      <c r="J412" s="9">
        <f>VLOOKUP(InputData4[[#This Row],[PRODUCT ID]],MasterData[],5,0)</f>
        <v>76</v>
      </c>
      <c r="K412" s="9">
        <f>VLOOKUP(InputData4[[#This Row],[PRODUCT ID]],MasterData[],6,0)</f>
        <v>82.08</v>
      </c>
      <c r="L412" s="9">
        <f>InputData4[[#This Row],[QUANTITY]]*InputData4[[#This Row],[BUYING PRIZE]]</f>
        <v>152</v>
      </c>
      <c r="M412" s="9">
        <f>InputData4[[#This Row],[QUANTITY]]*InputData4[[#This Row],[SELLING PRICE]]*(1-InputData4[[#This Row],[DISCOUNT %]])</f>
        <v>164.16</v>
      </c>
      <c r="N412" s="7">
        <f>DAY(InputData4[[#This Row],[DATE]])</f>
        <v>25</v>
      </c>
      <c r="O412" s="7">
        <f>MONTH(InputData4[[#This Row],[DATE]])</f>
        <v>7</v>
      </c>
      <c r="P412" s="7">
        <f>YEAR(InputData4[[#This Row],[DATE]])</f>
        <v>2022</v>
      </c>
    </row>
    <row r="413" spans="1:16" x14ac:dyDescent="0.3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  <c r="G413" t="str">
        <f>VLOOKUP(InputData4[[#This Row],[PRODUCT ID]],MasterData[],2,0)</f>
        <v>Product17</v>
      </c>
      <c r="H413" t="str">
        <f>VLOOKUP(InputData4[[#This Row],[PRODUCT ID]],MasterData[],3,0)</f>
        <v>Category02</v>
      </c>
      <c r="I413" t="str">
        <f>VLOOKUP(InputData4[[#This Row],[PRODUCT ID]],MasterData[],4,0)</f>
        <v>Ft</v>
      </c>
      <c r="J413" s="9">
        <f>VLOOKUP(InputData4[[#This Row],[PRODUCT ID]],MasterData[],5,0)</f>
        <v>134</v>
      </c>
      <c r="K413" s="9">
        <f>VLOOKUP(InputData4[[#This Row],[PRODUCT ID]],MasterData[],6,0)</f>
        <v>156.78</v>
      </c>
      <c r="L413" s="9">
        <f>InputData4[[#This Row],[QUANTITY]]*InputData4[[#This Row],[BUYING PRIZE]]</f>
        <v>1608</v>
      </c>
      <c r="M413" s="9">
        <f>InputData4[[#This Row],[QUANTITY]]*InputData4[[#This Row],[SELLING PRICE]]*(1-InputData4[[#This Row],[DISCOUNT %]])</f>
        <v>1881.3600000000001</v>
      </c>
      <c r="N413" s="7">
        <f>DAY(InputData4[[#This Row],[DATE]])</f>
        <v>25</v>
      </c>
      <c r="O413" s="7">
        <f>MONTH(InputData4[[#This Row],[DATE]])</f>
        <v>7</v>
      </c>
      <c r="P413" s="7">
        <f>YEAR(InputData4[[#This Row],[DATE]])</f>
        <v>2022</v>
      </c>
    </row>
    <row r="414" spans="1:16" x14ac:dyDescent="0.3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  <c r="G414" t="str">
        <f>VLOOKUP(InputData4[[#This Row],[PRODUCT ID]],MasterData[],2,0)</f>
        <v>Product03</v>
      </c>
      <c r="H414" t="str">
        <f>VLOOKUP(InputData4[[#This Row],[PRODUCT ID]],MasterData[],3,0)</f>
        <v>Category01</v>
      </c>
      <c r="I414" t="str">
        <f>VLOOKUP(InputData4[[#This Row],[PRODUCT ID]],MasterData[],4,0)</f>
        <v>Kg</v>
      </c>
      <c r="J414" s="9">
        <f>VLOOKUP(InputData4[[#This Row],[PRODUCT ID]],MasterData[],5,0)</f>
        <v>71</v>
      </c>
      <c r="K414" s="9">
        <f>VLOOKUP(InputData4[[#This Row],[PRODUCT ID]],MasterData[],6,0)</f>
        <v>80.94</v>
      </c>
      <c r="L414" s="9">
        <f>InputData4[[#This Row],[QUANTITY]]*InputData4[[#This Row],[BUYING PRIZE]]</f>
        <v>923</v>
      </c>
      <c r="M414" s="9">
        <f>InputData4[[#This Row],[QUANTITY]]*InputData4[[#This Row],[SELLING PRICE]]*(1-InputData4[[#This Row],[DISCOUNT %]])</f>
        <v>1052.22</v>
      </c>
      <c r="N414" s="7">
        <f>DAY(InputData4[[#This Row],[DATE]])</f>
        <v>25</v>
      </c>
      <c r="O414" s="7">
        <f>MONTH(InputData4[[#This Row],[DATE]])</f>
        <v>7</v>
      </c>
      <c r="P414" s="7">
        <f>YEAR(InputData4[[#This Row],[DATE]])</f>
        <v>2022</v>
      </c>
    </row>
    <row r="415" spans="1:16" x14ac:dyDescent="0.3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  <c r="G415" t="str">
        <f>VLOOKUP(InputData4[[#This Row],[PRODUCT ID]],MasterData[],2,0)</f>
        <v>Product03</v>
      </c>
      <c r="H415" t="str">
        <f>VLOOKUP(InputData4[[#This Row],[PRODUCT ID]],MasterData[],3,0)</f>
        <v>Category01</v>
      </c>
      <c r="I415" t="str">
        <f>VLOOKUP(InputData4[[#This Row],[PRODUCT ID]],MasterData[],4,0)</f>
        <v>Kg</v>
      </c>
      <c r="J415" s="9">
        <f>VLOOKUP(InputData4[[#This Row],[PRODUCT ID]],MasterData[],5,0)</f>
        <v>71</v>
      </c>
      <c r="K415" s="9">
        <f>VLOOKUP(InputData4[[#This Row],[PRODUCT ID]],MasterData[],6,0)</f>
        <v>80.94</v>
      </c>
      <c r="L415" s="9">
        <f>InputData4[[#This Row],[QUANTITY]]*InputData4[[#This Row],[BUYING PRIZE]]</f>
        <v>710</v>
      </c>
      <c r="M415" s="9">
        <f>InputData4[[#This Row],[QUANTITY]]*InputData4[[#This Row],[SELLING PRICE]]*(1-InputData4[[#This Row],[DISCOUNT %]])</f>
        <v>809.4</v>
      </c>
      <c r="N415" s="7">
        <f>DAY(InputData4[[#This Row],[DATE]])</f>
        <v>26</v>
      </c>
      <c r="O415" s="7">
        <f>MONTH(InputData4[[#This Row],[DATE]])</f>
        <v>7</v>
      </c>
      <c r="P415" s="7">
        <f>YEAR(InputData4[[#This Row],[DATE]])</f>
        <v>2022</v>
      </c>
    </row>
    <row r="416" spans="1:16" x14ac:dyDescent="0.3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  <c r="G416" t="str">
        <f>VLOOKUP(InputData4[[#This Row],[PRODUCT ID]],MasterData[],2,0)</f>
        <v>Product26</v>
      </c>
      <c r="H416" t="str">
        <f>VLOOKUP(InputData4[[#This Row],[PRODUCT ID]],MasterData[],3,0)</f>
        <v>Category04</v>
      </c>
      <c r="I416" t="str">
        <f>VLOOKUP(InputData4[[#This Row],[PRODUCT ID]],MasterData[],4,0)</f>
        <v>No.</v>
      </c>
      <c r="J416" s="9">
        <f>VLOOKUP(InputData4[[#This Row],[PRODUCT ID]],MasterData[],5,0)</f>
        <v>18</v>
      </c>
      <c r="K416" s="9">
        <f>VLOOKUP(InputData4[[#This Row],[PRODUCT ID]],MasterData[],6,0)</f>
        <v>24.66</v>
      </c>
      <c r="L416" s="9">
        <f>InputData4[[#This Row],[QUANTITY]]*InputData4[[#This Row],[BUYING PRIZE]]</f>
        <v>18</v>
      </c>
      <c r="M416" s="9">
        <f>InputData4[[#This Row],[QUANTITY]]*InputData4[[#This Row],[SELLING PRICE]]*(1-InputData4[[#This Row],[DISCOUNT %]])</f>
        <v>24.66</v>
      </c>
      <c r="N416" s="7">
        <f>DAY(InputData4[[#This Row],[DATE]])</f>
        <v>26</v>
      </c>
      <c r="O416" s="7">
        <f>MONTH(InputData4[[#This Row],[DATE]])</f>
        <v>7</v>
      </c>
      <c r="P416" s="7">
        <f>YEAR(InputData4[[#This Row],[DATE]])</f>
        <v>2022</v>
      </c>
    </row>
    <row r="417" spans="1:16" x14ac:dyDescent="0.3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  <c r="G417" t="str">
        <f>VLOOKUP(InputData4[[#This Row],[PRODUCT ID]],MasterData[],2,0)</f>
        <v>Product12</v>
      </c>
      <c r="H417" t="str">
        <f>VLOOKUP(InputData4[[#This Row],[PRODUCT ID]],MasterData[],3,0)</f>
        <v>Category02</v>
      </c>
      <c r="I417" t="str">
        <f>VLOOKUP(InputData4[[#This Row],[PRODUCT ID]],MasterData[],4,0)</f>
        <v>Kg</v>
      </c>
      <c r="J417" s="9">
        <f>VLOOKUP(InputData4[[#This Row],[PRODUCT ID]],MasterData[],5,0)</f>
        <v>73</v>
      </c>
      <c r="K417" s="9">
        <f>VLOOKUP(InputData4[[#This Row],[PRODUCT ID]],MasterData[],6,0)</f>
        <v>94.17</v>
      </c>
      <c r="L417" s="9">
        <f>InputData4[[#This Row],[QUANTITY]]*InputData4[[#This Row],[BUYING PRIZE]]</f>
        <v>365</v>
      </c>
      <c r="M417" s="9">
        <f>InputData4[[#This Row],[QUANTITY]]*InputData4[[#This Row],[SELLING PRICE]]*(1-InputData4[[#This Row],[DISCOUNT %]])</f>
        <v>470.85</v>
      </c>
      <c r="N417" s="7">
        <f>DAY(InputData4[[#This Row],[DATE]])</f>
        <v>3</v>
      </c>
      <c r="O417" s="7">
        <f>MONTH(InputData4[[#This Row],[DATE]])</f>
        <v>8</v>
      </c>
      <c r="P417" s="7">
        <f>YEAR(InputData4[[#This Row],[DATE]])</f>
        <v>2022</v>
      </c>
    </row>
    <row r="418" spans="1:16" x14ac:dyDescent="0.3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  <c r="G418" t="str">
        <f>VLOOKUP(InputData4[[#This Row],[PRODUCT ID]],MasterData[],2,0)</f>
        <v>Product16</v>
      </c>
      <c r="H418" t="str">
        <f>VLOOKUP(InputData4[[#This Row],[PRODUCT ID]],MasterData[],3,0)</f>
        <v>Category02</v>
      </c>
      <c r="I418" t="str">
        <f>VLOOKUP(InputData4[[#This Row],[PRODUCT ID]],MasterData[],4,0)</f>
        <v>No.</v>
      </c>
      <c r="J418" s="9">
        <f>VLOOKUP(InputData4[[#This Row],[PRODUCT ID]],MasterData[],5,0)</f>
        <v>13</v>
      </c>
      <c r="K418" s="9">
        <f>VLOOKUP(InputData4[[#This Row],[PRODUCT ID]],MasterData[],6,0)</f>
        <v>16.64</v>
      </c>
      <c r="L418" s="9">
        <f>InputData4[[#This Row],[QUANTITY]]*InputData4[[#This Row],[BUYING PRIZE]]</f>
        <v>117</v>
      </c>
      <c r="M418" s="9">
        <f>InputData4[[#This Row],[QUANTITY]]*InputData4[[#This Row],[SELLING PRICE]]*(1-InputData4[[#This Row],[DISCOUNT %]])</f>
        <v>149.76</v>
      </c>
      <c r="N418" s="7">
        <f>DAY(InputData4[[#This Row],[DATE]])</f>
        <v>6</v>
      </c>
      <c r="O418" s="7">
        <f>MONTH(InputData4[[#This Row],[DATE]])</f>
        <v>8</v>
      </c>
      <c r="P418" s="7">
        <f>YEAR(InputData4[[#This Row],[DATE]])</f>
        <v>2022</v>
      </c>
    </row>
    <row r="419" spans="1:16" x14ac:dyDescent="0.3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  <c r="G419" t="str">
        <f>VLOOKUP(InputData4[[#This Row],[PRODUCT ID]],MasterData[],2,0)</f>
        <v>Product16</v>
      </c>
      <c r="H419" t="str">
        <f>VLOOKUP(InputData4[[#This Row],[PRODUCT ID]],MasterData[],3,0)</f>
        <v>Category02</v>
      </c>
      <c r="I419" t="str">
        <f>VLOOKUP(InputData4[[#This Row],[PRODUCT ID]],MasterData[],4,0)</f>
        <v>No.</v>
      </c>
      <c r="J419" s="9">
        <f>VLOOKUP(InputData4[[#This Row],[PRODUCT ID]],MasterData[],5,0)</f>
        <v>13</v>
      </c>
      <c r="K419" s="9">
        <f>VLOOKUP(InputData4[[#This Row],[PRODUCT ID]],MasterData[],6,0)</f>
        <v>16.64</v>
      </c>
      <c r="L419" s="9">
        <f>InputData4[[#This Row],[QUANTITY]]*InputData4[[#This Row],[BUYING PRIZE]]</f>
        <v>26</v>
      </c>
      <c r="M419" s="9">
        <f>InputData4[[#This Row],[QUANTITY]]*InputData4[[#This Row],[SELLING PRICE]]*(1-InputData4[[#This Row],[DISCOUNT %]])</f>
        <v>33.28</v>
      </c>
      <c r="N419" s="7">
        <f>DAY(InputData4[[#This Row],[DATE]])</f>
        <v>8</v>
      </c>
      <c r="O419" s="7">
        <f>MONTH(InputData4[[#This Row],[DATE]])</f>
        <v>8</v>
      </c>
      <c r="P419" s="7">
        <f>YEAR(InputData4[[#This Row],[DATE]])</f>
        <v>2022</v>
      </c>
    </row>
    <row r="420" spans="1:16" x14ac:dyDescent="0.3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  <c r="G420" t="str">
        <f>VLOOKUP(InputData4[[#This Row],[PRODUCT ID]],MasterData[],2,0)</f>
        <v>Product32</v>
      </c>
      <c r="H420" t="str">
        <f>VLOOKUP(InputData4[[#This Row],[PRODUCT ID]],MasterData[],3,0)</f>
        <v>Category04</v>
      </c>
      <c r="I420" t="str">
        <f>VLOOKUP(InputData4[[#This Row],[PRODUCT ID]],MasterData[],4,0)</f>
        <v>Kg</v>
      </c>
      <c r="J420" s="9">
        <f>VLOOKUP(InputData4[[#This Row],[PRODUCT ID]],MasterData[],5,0)</f>
        <v>89</v>
      </c>
      <c r="K420" s="9">
        <f>VLOOKUP(InputData4[[#This Row],[PRODUCT ID]],MasterData[],6,0)</f>
        <v>117.48</v>
      </c>
      <c r="L420" s="9">
        <f>InputData4[[#This Row],[QUANTITY]]*InputData4[[#This Row],[BUYING PRIZE]]</f>
        <v>1068</v>
      </c>
      <c r="M420" s="9">
        <f>InputData4[[#This Row],[QUANTITY]]*InputData4[[#This Row],[SELLING PRICE]]*(1-InputData4[[#This Row],[DISCOUNT %]])</f>
        <v>1409.76</v>
      </c>
      <c r="N420" s="7">
        <f>DAY(InputData4[[#This Row],[DATE]])</f>
        <v>8</v>
      </c>
      <c r="O420" s="7">
        <f>MONTH(InputData4[[#This Row],[DATE]])</f>
        <v>8</v>
      </c>
      <c r="P420" s="7">
        <f>YEAR(InputData4[[#This Row],[DATE]])</f>
        <v>2022</v>
      </c>
    </row>
    <row r="421" spans="1:16" x14ac:dyDescent="0.3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  <c r="G421" t="str">
        <f>VLOOKUP(InputData4[[#This Row],[PRODUCT ID]],MasterData[],2,0)</f>
        <v>Product21</v>
      </c>
      <c r="H421" t="str">
        <f>VLOOKUP(InputData4[[#This Row],[PRODUCT ID]],MasterData[],3,0)</f>
        <v>Category03</v>
      </c>
      <c r="I421" t="str">
        <f>VLOOKUP(InputData4[[#This Row],[PRODUCT ID]],MasterData[],4,0)</f>
        <v>Ft</v>
      </c>
      <c r="J421" s="9">
        <f>VLOOKUP(InputData4[[#This Row],[PRODUCT ID]],MasterData[],5,0)</f>
        <v>126</v>
      </c>
      <c r="K421" s="9">
        <f>VLOOKUP(InputData4[[#This Row],[PRODUCT ID]],MasterData[],6,0)</f>
        <v>162.54</v>
      </c>
      <c r="L421" s="9">
        <f>InputData4[[#This Row],[QUANTITY]]*InputData4[[#This Row],[BUYING PRIZE]]</f>
        <v>1386</v>
      </c>
      <c r="M421" s="9">
        <f>InputData4[[#This Row],[QUANTITY]]*InputData4[[#This Row],[SELLING PRICE]]*(1-InputData4[[#This Row],[DISCOUNT %]])</f>
        <v>1787.9399999999998</v>
      </c>
      <c r="N421" s="7">
        <f>DAY(InputData4[[#This Row],[DATE]])</f>
        <v>8</v>
      </c>
      <c r="O421" s="7">
        <f>MONTH(InputData4[[#This Row],[DATE]])</f>
        <v>8</v>
      </c>
      <c r="P421" s="7">
        <f>YEAR(InputData4[[#This Row],[DATE]])</f>
        <v>2022</v>
      </c>
    </row>
    <row r="422" spans="1:16" x14ac:dyDescent="0.3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  <c r="G422" t="str">
        <f>VLOOKUP(InputData4[[#This Row],[PRODUCT ID]],MasterData[],2,0)</f>
        <v>Product30</v>
      </c>
      <c r="H422" t="str">
        <f>VLOOKUP(InputData4[[#This Row],[PRODUCT ID]],MasterData[],3,0)</f>
        <v>Category04</v>
      </c>
      <c r="I422" t="str">
        <f>VLOOKUP(InputData4[[#This Row],[PRODUCT ID]],MasterData[],4,0)</f>
        <v>Ft</v>
      </c>
      <c r="J422" s="9">
        <f>VLOOKUP(InputData4[[#This Row],[PRODUCT ID]],MasterData[],5,0)</f>
        <v>148</v>
      </c>
      <c r="K422" s="9">
        <f>VLOOKUP(InputData4[[#This Row],[PRODUCT ID]],MasterData[],6,0)</f>
        <v>201.28</v>
      </c>
      <c r="L422" s="9">
        <f>InputData4[[#This Row],[QUANTITY]]*InputData4[[#This Row],[BUYING PRIZE]]</f>
        <v>2072</v>
      </c>
      <c r="M422" s="9">
        <f>InputData4[[#This Row],[QUANTITY]]*InputData4[[#This Row],[SELLING PRICE]]*(1-InputData4[[#This Row],[DISCOUNT %]])</f>
        <v>2817.92</v>
      </c>
      <c r="N422" s="7">
        <f>DAY(InputData4[[#This Row],[DATE]])</f>
        <v>14</v>
      </c>
      <c r="O422" s="7">
        <f>MONTH(InputData4[[#This Row],[DATE]])</f>
        <v>8</v>
      </c>
      <c r="P422" s="7">
        <f>YEAR(InputData4[[#This Row],[DATE]])</f>
        <v>2022</v>
      </c>
    </row>
    <row r="423" spans="1:16" x14ac:dyDescent="0.3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  <c r="G423" t="str">
        <f>VLOOKUP(InputData4[[#This Row],[PRODUCT ID]],MasterData[],2,0)</f>
        <v>Product11</v>
      </c>
      <c r="H423" t="str">
        <f>VLOOKUP(InputData4[[#This Row],[PRODUCT ID]],MasterData[],3,0)</f>
        <v>Category02</v>
      </c>
      <c r="I423" t="str">
        <f>VLOOKUP(InputData4[[#This Row],[PRODUCT ID]],MasterData[],4,0)</f>
        <v>Lt</v>
      </c>
      <c r="J423" s="9">
        <f>VLOOKUP(InputData4[[#This Row],[PRODUCT ID]],MasterData[],5,0)</f>
        <v>44</v>
      </c>
      <c r="K423" s="9">
        <f>VLOOKUP(InputData4[[#This Row],[PRODUCT ID]],MasterData[],6,0)</f>
        <v>48.4</v>
      </c>
      <c r="L423" s="9">
        <f>InputData4[[#This Row],[QUANTITY]]*InputData4[[#This Row],[BUYING PRIZE]]</f>
        <v>440</v>
      </c>
      <c r="M423" s="9">
        <f>InputData4[[#This Row],[QUANTITY]]*InputData4[[#This Row],[SELLING PRICE]]*(1-InputData4[[#This Row],[DISCOUNT %]])</f>
        <v>484</v>
      </c>
      <c r="N423" s="7">
        <f>DAY(InputData4[[#This Row],[DATE]])</f>
        <v>15</v>
      </c>
      <c r="O423" s="7">
        <f>MONTH(InputData4[[#This Row],[DATE]])</f>
        <v>8</v>
      </c>
      <c r="P423" s="7">
        <f>YEAR(InputData4[[#This Row],[DATE]])</f>
        <v>2022</v>
      </c>
    </row>
    <row r="424" spans="1:16" x14ac:dyDescent="0.3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  <c r="G424" t="str">
        <f>VLOOKUP(InputData4[[#This Row],[PRODUCT ID]],MasterData[],2,0)</f>
        <v>Product15</v>
      </c>
      <c r="H424" t="str">
        <f>VLOOKUP(InputData4[[#This Row],[PRODUCT ID]],MasterData[],3,0)</f>
        <v>Category02</v>
      </c>
      <c r="I424" t="str">
        <f>VLOOKUP(InputData4[[#This Row],[PRODUCT ID]],MasterData[],4,0)</f>
        <v>No.</v>
      </c>
      <c r="J424" s="9">
        <f>VLOOKUP(InputData4[[#This Row],[PRODUCT ID]],MasterData[],5,0)</f>
        <v>12</v>
      </c>
      <c r="K424" s="9">
        <f>VLOOKUP(InputData4[[#This Row],[PRODUCT ID]],MasterData[],6,0)</f>
        <v>15.719999999999999</v>
      </c>
      <c r="L424" s="9">
        <f>InputData4[[#This Row],[QUANTITY]]*InputData4[[#This Row],[BUYING PRIZE]]</f>
        <v>84</v>
      </c>
      <c r="M424" s="9">
        <f>InputData4[[#This Row],[QUANTITY]]*InputData4[[#This Row],[SELLING PRICE]]*(1-InputData4[[#This Row],[DISCOUNT %]])</f>
        <v>110.03999999999999</v>
      </c>
      <c r="N424" s="7">
        <f>DAY(InputData4[[#This Row],[DATE]])</f>
        <v>15</v>
      </c>
      <c r="O424" s="7">
        <f>MONTH(InputData4[[#This Row],[DATE]])</f>
        <v>8</v>
      </c>
      <c r="P424" s="7">
        <f>YEAR(InputData4[[#This Row],[DATE]])</f>
        <v>2022</v>
      </c>
    </row>
    <row r="425" spans="1:16" x14ac:dyDescent="0.3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  <c r="G425" t="str">
        <f>VLOOKUP(InputData4[[#This Row],[PRODUCT ID]],MasterData[],2,0)</f>
        <v>Product29</v>
      </c>
      <c r="H425" t="str">
        <f>VLOOKUP(InputData4[[#This Row],[PRODUCT ID]],MasterData[],3,0)</f>
        <v>Category04</v>
      </c>
      <c r="I425" t="str">
        <f>VLOOKUP(InputData4[[#This Row],[PRODUCT ID]],MasterData[],4,0)</f>
        <v>Lt</v>
      </c>
      <c r="J425" s="9">
        <f>VLOOKUP(InputData4[[#This Row],[PRODUCT ID]],MasterData[],5,0)</f>
        <v>47</v>
      </c>
      <c r="K425" s="9">
        <f>VLOOKUP(InputData4[[#This Row],[PRODUCT ID]],MasterData[],6,0)</f>
        <v>53.11</v>
      </c>
      <c r="L425" s="9">
        <f>InputData4[[#This Row],[QUANTITY]]*InputData4[[#This Row],[BUYING PRIZE]]</f>
        <v>376</v>
      </c>
      <c r="M425" s="9">
        <f>InputData4[[#This Row],[QUANTITY]]*InputData4[[#This Row],[SELLING PRICE]]*(1-InputData4[[#This Row],[DISCOUNT %]])</f>
        <v>424.88</v>
      </c>
      <c r="N425" s="7">
        <f>DAY(InputData4[[#This Row],[DATE]])</f>
        <v>18</v>
      </c>
      <c r="O425" s="7">
        <f>MONTH(InputData4[[#This Row],[DATE]])</f>
        <v>8</v>
      </c>
      <c r="P425" s="7">
        <f>YEAR(InputData4[[#This Row],[DATE]])</f>
        <v>2022</v>
      </c>
    </row>
    <row r="426" spans="1:16" x14ac:dyDescent="0.3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  <c r="G426" t="str">
        <f>VLOOKUP(InputData4[[#This Row],[PRODUCT ID]],MasterData[],2,0)</f>
        <v>Product10</v>
      </c>
      <c r="H426" t="str">
        <f>VLOOKUP(InputData4[[#This Row],[PRODUCT ID]],MasterData[],3,0)</f>
        <v>Category02</v>
      </c>
      <c r="I426" t="str">
        <f>VLOOKUP(InputData4[[#This Row],[PRODUCT ID]],MasterData[],4,0)</f>
        <v>Ft</v>
      </c>
      <c r="J426" s="9">
        <f>VLOOKUP(InputData4[[#This Row],[PRODUCT ID]],MasterData[],5,0)</f>
        <v>148</v>
      </c>
      <c r="K426" s="9">
        <f>VLOOKUP(InputData4[[#This Row],[PRODUCT ID]],MasterData[],6,0)</f>
        <v>164.28</v>
      </c>
      <c r="L426" s="9">
        <f>InputData4[[#This Row],[QUANTITY]]*InputData4[[#This Row],[BUYING PRIZE]]</f>
        <v>296</v>
      </c>
      <c r="M426" s="9">
        <f>InputData4[[#This Row],[QUANTITY]]*InputData4[[#This Row],[SELLING PRICE]]*(1-InputData4[[#This Row],[DISCOUNT %]])</f>
        <v>328.56</v>
      </c>
      <c r="N426" s="7">
        <f>DAY(InputData4[[#This Row],[DATE]])</f>
        <v>18</v>
      </c>
      <c r="O426" s="7">
        <f>MONTH(InputData4[[#This Row],[DATE]])</f>
        <v>8</v>
      </c>
      <c r="P426" s="7">
        <f>YEAR(InputData4[[#This Row],[DATE]])</f>
        <v>2022</v>
      </c>
    </row>
    <row r="427" spans="1:16" x14ac:dyDescent="0.3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  <c r="G427" t="str">
        <f>VLOOKUP(InputData4[[#This Row],[PRODUCT ID]],MasterData[],2,0)</f>
        <v>Product07</v>
      </c>
      <c r="H427" t="str">
        <f>VLOOKUP(InputData4[[#This Row],[PRODUCT ID]],MasterData[],3,0)</f>
        <v>Category01</v>
      </c>
      <c r="I427" t="str">
        <f>VLOOKUP(InputData4[[#This Row],[PRODUCT ID]],MasterData[],4,0)</f>
        <v>Lt</v>
      </c>
      <c r="J427" s="9">
        <f>VLOOKUP(InputData4[[#This Row],[PRODUCT ID]],MasterData[],5,0)</f>
        <v>43</v>
      </c>
      <c r="K427" s="9">
        <f>VLOOKUP(InputData4[[#This Row],[PRODUCT ID]],MasterData[],6,0)</f>
        <v>47.730000000000004</v>
      </c>
      <c r="L427" s="9">
        <f>InputData4[[#This Row],[QUANTITY]]*InputData4[[#This Row],[BUYING PRIZE]]</f>
        <v>129</v>
      </c>
      <c r="M427" s="9">
        <f>InputData4[[#This Row],[QUANTITY]]*InputData4[[#This Row],[SELLING PRICE]]*(1-InputData4[[#This Row],[DISCOUNT %]])</f>
        <v>143.19</v>
      </c>
      <c r="N427" s="7">
        <f>DAY(InputData4[[#This Row],[DATE]])</f>
        <v>19</v>
      </c>
      <c r="O427" s="7">
        <f>MONTH(InputData4[[#This Row],[DATE]])</f>
        <v>8</v>
      </c>
      <c r="P427" s="7">
        <f>YEAR(InputData4[[#This Row],[DATE]])</f>
        <v>2022</v>
      </c>
    </row>
    <row r="428" spans="1:16" x14ac:dyDescent="0.3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  <c r="G428" t="str">
        <f>VLOOKUP(InputData4[[#This Row],[PRODUCT ID]],MasterData[],2,0)</f>
        <v>Product23</v>
      </c>
      <c r="H428" t="str">
        <f>VLOOKUP(InputData4[[#This Row],[PRODUCT ID]],MasterData[],3,0)</f>
        <v>Category03</v>
      </c>
      <c r="I428" t="str">
        <f>VLOOKUP(InputData4[[#This Row],[PRODUCT ID]],MasterData[],4,0)</f>
        <v>Ft</v>
      </c>
      <c r="J428" s="9">
        <f>VLOOKUP(InputData4[[#This Row],[PRODUCT ID]],MasterData[],5,0)</f>
        <v>141</v>
      </c>
      <c r="K428" s="9">
        <f>VLOOKUP(InputData4[[#This Row],[PRODUCT ID]],MasterData[],6,0)</f>
        <v>149.46</v>
      </c>
      <c r="L428" s="9">
        <f>InputData4[[#This Row],[QUANTITY]]*InputData4[[#This Row],[BUYING PRIZE]]</f>
        <v>1833</v>
      </c>
      <c r="M428" s="9">
        <f>InputData4[[#This Row],[QUANTITY]]*InputData4[[#This Row],[SELLING PRICE]]*(1-InputData4[[#This Row],[DISCOUNT %]])</f>
        <v>1942.98</v>
      </c>
      <c r="N428" s="7">
        <f>DAY(InputData4[[#This Row],[DATE]])</f>
        <v>20</v>
      </c>
      <c r="O428" s="7">
        <f>MONTH(InputData4[[#This Row],[DATE]])</f>
        <v>8</v>
      </c>
      <c r="P428" s="7">
        <f>YEAR(InputData4[[#This Row],[DATE]])</f>
        <v>2022</v>
      </c>
    </row>
    <row r="429" spans="1:16" x14ac:dyDescent="0.3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  <c r="G429" t="str">
        <f>VLOOKUP(InputData4[[#This Row],[PRODUCT ID]],MasterData[],2,0)</f>
        <v>Product33</v>
      </c>
      <c r="H429" t="str">
        <f>VLOOKUP(InputData4[[#This Row],[PRODUCT ID]],MasterData[],3,0)</f>
        <v>Category04</v>
      </c>
      <c r="I429" t="str">
        <f>VLOOKUP(InputData4[[#This Row],[PRODUCT ID]],MasterData[],4,0)</f>
        <v>Kg</v>
      </c>
      <c r="J429" s="9">
        <f>VLOOKUP(InputData4[[#This Row],[PRODUCT ID]],MasterData[],5,0)</f>
        <v>95</v>
      </c>
      <c r="K429" s="9">
        <f>VLOOKUP(InputData4[[#This Row],[PRODUCT ID]],MasterData[],6,0)</f>
        <v>119.7</v>
      </c>
      <c r="L429" s="9">
        <f>InputData4[[#This Row],[QUANTITY]]*InputData4[[#This Row],[BUYING PRIZE]]</f>
        <v>1330</v>
      </c>
      <c r="M429" s="9">
        <f>InputData4[[#This Row],[QUANTITY]]*InputData4[[#This Row],[SELLING PRICE]]*(1-InputData4[[#This Row],[DISCOUNT %]])</f>
        <v>1675.8</v>
      </c>
      <c r="N429" s="7">
        <f>DAY(InputData4[[#This Row],[DATE]])</f>
        <v>20</v>
      </c>
      <c r="O429" s="7">
        <f>MONTH(InputData4[[#This Row],[DATE]])</f>
        <v>8</v>
      </c>
      <c r="P429" s="7">
        <f>YEAR(InputData4[[#This Row],[DATE]])</f>
        <v>2022</v>
      </c>
    </row>
    <row r="430" spans="1:16" x14ac:dyDescent="0.3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  <c r="G430" t="str">
        <f>VLOOKUP(InputData4[[#This Row],[PRODUCT ID]],MasterData[],2,0)</f>
        <v>Product16</v>
      </c>
      <c r="H430" t="str">
        <f>VLOOKUP(InputData4[[#This Row],[PRODUCT ID]],MasterData[],3,0)</f>
        <v>Category02</v>
      </c>
      <c r="I430" t="str">
        <f>VLOOKUP(InputData4[[#This Row],[PRODUCT ID]],MasterData[],4,0)</f>
        <v>No.</v>
      </c>
      <c r="J430" s="9">
        <f>VLOOKUP(InputData4[[#This Row],[PRODUCT ID]],MasterData[],5,0)</f>
        <v>13</v>
      </c>
      <c r="K430" s="9">
        <f>VLOOKUP(InputData4[[#This Row],[PRODUCT ID]],MasterData[],6,0)</f>
        <v>16.64</v>
      </c>
      <c r="L430" s="9">
        <f>InputData4[[#This Row],[QUANTITY]]*InputData4[[#This Row],[BUYING PRIZE]]</f>
        <v>52</v>
      </c>
      <c r="M430" s="9">
        <f>InputData4[[#This Row],[QUANTITY]]*InputData4[[#This Row],[SELLING PRICE]]*(1-InputData4[[#This Row],[DISCOUNT %]])</f>
        <v>66.56</v>
      </c>
      <c r="N430" s="7">
        <f>DAY(InputData4[[#This Row],[DATE]])</f>
        <v>21</v>
      </c>
      <c r="O430" s="7">
        <f>MONTH(InputData4[[#This Row],[DATE]])</f>
        <v>8</v>
      </c>
      <c r="P430" s="7">
        <f>YEAR(InputData4[[#This Row],[DATE]])</f>
        <v>2022</v>
      </c>
    </row>
    <row r="431" spans="1:16" x14ac:dyDescent="0.3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  <c r="G431" t="str">
        <f>VLOOKUP(InputData4[[#This Row],[PRODUCT ID]],MasterData[],2,0)</f>
        <v>Product44</v>
      </c>
      <c r="H431" t="str">
        <f>VLOOKUP(InputData4[[#This Row],[PRODUCT ID]],MasterData[],3,0)</f>
        <v>Category05</v>
      </c>
      <c r="I431" t="str">
        <f>VLOOKUP(InputData4[[#This Row],[PRODUCT ID]],MasterData[],4,0)</f>
        <v>Kg</v>
      </c>
      <c r="J431" s="9">
        <f>VLOOKUP(InputData4[[#This Row],[PRODUCT ID]],MasterData[],5,0)</f>
        <v>76</v>
      </c>
      <c r="K431" s="9">
        <f>VLOOKUP(InputData4[[#This Row],[PRODUCT ID]],MasterData[],6,0)</f>
        <v>82.08</v>
      </c>
      <c r="L431" s="9">
        <f>InputData4[[#This Row],[QUANTITY]]*InputData4[[#This Row],[BUYING PRIZE]]</f>
        <v>836</v>
      </c>
      <c r="M431" s="9">
        <f>InputData4[[#This Row],[QUANTITY]]*InputData4[[#This Row],[SELLING PRICE]]*(1-InputData4[[#This Row],[DISCOUNT %]])</f>
        <v>902.88</v>
      </c>
      <c r="N431" s="7">
        <f>DAY(InputData4[[#This Row],[DATE]])</f>
        <v>23</v>
      </c>
      <c r="O431" s="7">
        <f>MONTH(InputData4[[#This Row],[DATE]])</f>
        <v>8</v>
      </c>
      <c r="P431" s="7">
        <f>YEAR(InputData4[[#This Row],[DATE]])</f>
        <v>2022</v>
      </c>
    </row>
    <row r="432" spans="1:16" x14ac:dyDescent="0.3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  <c r="G432" t="str">
        <f>VLOOKUP(InputData4[[#This Row],[PRODUCT ID]],MasterData[],2,0)</f>
        <v>Product29</v>
      </c>
      <c r="H432" t="str">
        <f>VLOOKUP(InputData4[[#This Row],[PRODUCT ID]],MasterData[],3,0)</f>
        <v>Category04</v>
      </c>
      <c r="I432" t="str">
        <f>VLOOKUP(InputData4[[#This Row],[PRODUCT ID]],MasterData[],4,0)</f>
        <v>Lt</v>
      </c>
      <c r="J432" s="9">
        <f>VLOOKUP(InputData4[[#This Row],[PRODUCT ID]],MasterData[],5,0)</f>
        <v>47</v>
      </c>
      <c r="K432" s="9">
        <f>VLOOKUP(InputData4[[#This Row],[PRODUCT ID]],MasterData[],6,0)</f>
        <v>53.11</v>
      </c>
      <c r="L432" s="9">
        <f>InputData4[[#This Row],[QUANTITY]]*InputData4[[#This Row],[BUYING PRIZE]]</f>
        <v>658</v>
      </c>
      <c r="M432" s="9">
        <f>InputData4[[#This Row],[QUANTITY]]*InputData4[[#This Row],[SELLING PRICE]]*(1-InputData4[[#This Row],[DISCOUNT %]])</f>
        <v>743.54</v>
      </c>
      <c r="N432" s="7">
        <f>DAY(InputData4[[#This Row],[DATE]])</f>
        <v>23</v>
      </c>
      <c r="O432" s="7">
        <f>MONTH(InputData4[[#This Row],[DATE]])</f>
        <v>8</v>
      </c>
      <c r="P432" s="7">
        <f>YEAR(InputData4[[#This Row],[DATE]])</f>
        <v>2022</v>
      </c>
    </row>
    <row r="433" spans="1:16" x14ac:dyDescent="0.3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  <c r="G433" t="str">
        <f>VLOOKUP(InputData4[[#This Row],[PRODUCT ID]],MasterData[],2,0)</f>
        <v>Product05</v>
      </c>
      <c r="H433" t="str">
        <f>VLOOKUP(InputData4[[#This Row],[PRODUCT ID]],MasterData[],3,0)</f>
        <v>Category01</v>
      </c>
      <c r="I433" t="str">
        <f>VLOOKUP(InputData4[[#This Row],[PRODUCT ID]],MasterData[],4,0)</f>
        <v>Ft</v>
      </c>
      <c r="J433" s="9">
        <f>VLOOKUP(InputData4[[#This Row],[PRODUCT ID]],MasterData[],5,0)</f>
        <v>133</v>
      </c>
      <c r="K433" s="9">
        <f>VLOOKUP(InputData4[[#This Row],[PRODUCT ID]],MasterData[],6,0)</f>
        <v>155.61000000000001</v>
      </c>
      <c r="L433" s="9">
        <f>InputData4[[#This Row],[QUANTITY]]*InputData4[[#This Row],[BUYING PRIZE]]</f>
        <v>665</v>
      </c>
      <c r="M433" s="9">
        <f>InputData4[[#This Row],[QUANTITY]]*InputData4[[#This Row],[SELLING PRICE]]*(1-InputData4[[#This Row],[DISCOUNT %]])</f>
        <v>778.05000000000007</v>
      </c>
      <c r="N433" s="7">
        <f>DAY(InputData4[[#This Row],[DATE]])</f>
        <v>24</v>
      </c>
      <c r="O433" s="7">
        <f>MONTH(InputData4[[#This Row],[DATE]])</f>
        <v>8</v>
      </c>
      <c r="P433" s="7">
        <f>YEAR(InputData4[[#This Row],[DATE]])</f>
        <v>2022</v>
      </c>
    </row>
    <row r="434" spans="1:16" x14ac:dyDescent="0.3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  <c r="G434" t="str">
        <f>VLOOKUP(InputData4[[#This Row],[PRODUCT ID]],MasterData[],2,0)</f>
        <v>Product19</v>
      </c>
      <c r="H434" t="str">
        <f>VLOOKUP(InputData4[[#This Row],[PRODUCT ID]],MasterData[],3,0)</f>
        <v>Category02</v>
      </c>
      <c r="I434" t="str">
        <f>VLOOKUP(InputData4[[#This Row],[PRODUCT ID]],MasterData[],4,0)</f>
        <v>Ft</v>
      </c>
      <c r="J434" s="9">
        <f>VLOOKUP(InputData4[[#This Row],[PRODUCT ID]],MasterData[],5,0)</f>
        <v>150</v>
      </c>
      <c r="K434" s="9">
        <f>VLOOKUP(InputData4[[#This Row],[PRODUCT ID]],MasterData[],6,0)</f>
        <v>210</v>
      </c>
      <c r="L434" s="9">
        <f>InputData4[[#This Row],[QUANTITY]]*InputData4[[#This Row],[BUYING PRIZE]]</f>
        <v>1950</v>
      </c>
      <c r="M434" s="9">
        <f>InputData4[[#This Row],[QUANTITY]]*InputData4[[#This Row],[SELLING PRICE]]*(1-InputData4[[#This Row],[DISCOUNT %]])</f>
        <v>2730</v>
      </c>
      <c r="N434" s="7">
        <f>DAY(InputData4[[#This Row],[DATE]])</f>
        <v>26</v>
      </c>
      <c r="O434" s="7">
        <f>MONTH(InputData4[[#This Row],[DATE]])</f>
        <v>8</v>
      </c>
      <c r="P434" s="7">
        <f>YEAR(InputData4[[#This Row],[DATE]])</f>
        <v>2022</v>
      </c>
    </row>
    <row r="435" spans="1:16" x14ac:dyDescent="0.3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  <c r="G435" t="str">
        <f>VLOOKUP(InputData4[[#This Row],[PRODUCT ID]],MasterData[],2,0)</f>
        <v>Product37</v>
      </c>
      <c r="H435" t="str">
        <f>VLOOKUP(InputData4[[#This Row],[PRODUCT ID]],MasterData[],3,0)</f>
        <v>Category05</v>
      </c>
      <c r="I435" t="str">
        <f>VLOOKUP(InputData4[[#This Row],[PRODUCT ID]],MasterData[],4,0)</f>
        <v>Kg</v>
      </c>
      <c r="J435" s="9">
        <f>VLOOKUP(InputData4[[#This Row],[PRODUCT ID]],MasterData[],5,0)</f>
        <v>67</v>
      </c>
      <c r="K435" s="9">
        <f>VLOOKUP(InputData4[[#This Row],[PRODUCT ID]],MasterData[],6,0)</f>
        <v>85.76</v>
      </c>
      <c r="L435" s="9">
        <f>InputData4[[#This Row],[QUANTITY]]*InputData4[[#This Row],[BUYING PRIZE]]</f>
        <v>536</v>
      </c>
      <c r="M435" s="9">
        <f>InputData4[[#This Row],[QUANTITY]]*InputData4[[#This Row],[SELLING PRICE]]*(1-InputData4[[#This Row],[DISCOUNT %]])</f>
        <v>686.08</v>
      </c>
      <c r="N435" s="7">
        <f>DAY(InputData4[[#This Row],[DATE]])</f>
        <v>26</v>
      </c>
      <c r="O435" s="7">
        <f>MONTH(InputData4[[#This Row],[DATE]])</f>
        <v>8</v>
      </c>
      <c r="P435" s="7">
        <f>YEAR(InputData4[[#This Row],[DATE]])</f>
        <v>2022</v>
      </c>
    </row>
    <row r="436" spans="1:16" x14ac:dyDescent="0.3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  <c r="G436" t="str">
        <f>VLOOKUP(InputData4[[#This Row],[PRODUCT ID]],MasterData[],2,0)</f>
        <v>Product39</v>
      </c>
      <c r="H436" t="str">
        <f>VLOOKUP(InputData4[[#This Row],[PRODUCT ID]],MasterData[],3,0)</f>
        <v>Category05</v>
      </c>
      <c r="I436" t="str">
        <f>VLOOKUP(InputData4[[#This Row],[PRODUCT ID]],MasterData[],4,0)</f>
        <v>No.</v>
      </c>
      <c r="J436" s="9">
        <f>VLOOKUP(InputData4[[#This Row],[PRODUCT ID]],MasterData[],5,0)</f>
        <v>37</v>
      </c>
      <c r="K436" s="9">
        <f>VLOOKUP(InputData4[[#This Row],[PRODUCT ID]],MasterData[],6,0)</f>
        <v>42.55</v>
      </c>
      <c r="L436" s="9">
        <f>InputData4[[#This Row],[QUANTITY]]*InputData4[[#This Row],[BUYING PRIZE]]</f>
        <v>555</v>
      </c>
      <c r="M436" s="9">
        <f>InputData4[[#This Row],[QUANTITY]]*InputData4[[#This Row],[SELLING PRICE]]*(1-InputData4[[#This Row],[DISCOUNT %]])</f>
        <v>638.25</v>
      </c>
      <c r="N436" s="7">
        <f>DAY(InputData4[[#This Row],[DATE]])</f>
        <v>27</v>
      </c>
      <c r="O436" s="7">
        <f>MONTH(InputData4[[#This Row],[DATE]])</f>
        <v>8</v>
      </c>
      <c r="P436" s="7">
        <f>YEAR(InputData4[[#This Row],[DATE]])</f>
        <v>2022</v>
      </c>
    </row>
    <row r="437" spans="1:16" x14ac:dyDescent="0.3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  <c r="G437" t="str">
        <f>VLOOKUP(InputData4[[#This Row],[PRODUCT ID]],MasterData[],2,0)</f>
        <v>Product05</v>
      </c>
      <c r="H437" t="str">
        <f>VLOOKUP(InputData4[[#This Row],[PRODUCT ID]],MasterData[],3,0)</f>
        <v>Category01</v>
      </c>
      <c r="I437" t="str">
        <f>VLOOKUP(InputData4[[#This Row],[PRODUCT ID]],MasterData[],4,0)</f>
        <v>Ft</v>
      </c>
      <c r="J437" s="9">
        <f>VLOOKUP(InputData4[[#This Row],[PRODUCT ID]],MasterData[],5,0)</f>
        <v>133</v>
      </c>
      <c r="K437" s="9">
        <f>VLOOKUP(InputData4[[#This Row],[PRODUCT ID]],MasterData[],6,0)</f>
        <v>155.61000000000001</v>
      </c>
      <c r="L437" s="9">
        <f>InputData4[[#This Row],[QUANTITY]]*InputData4[[#This Row],[BUYING PRIZE]]</f>
        <v>1197</v>
      </c>
      <c r="M437" s="9">
        <f>InputData4[[#This Row],[QUANTITY]]*InputData4[[#This Row],[SELLING PRICE]]*(1-InputData4[[#This Row],[DISCOUNT %]])</f>
        <v>1400.4900000000002</v>
      </c>
      <c r="N437" s="7">
        <f>DAY(InputData4[[#This Row],[DATE]])</f>
        <v>28</v>
      </c>
      <c r="O437" s="7">
        <f>MONTH(InputData4[[#This Row],[DATE]])</f>
        <v>8</v>
      </c>
      <c r="P437" s="7">
        <f>YEAR(InputData4[[#This Row],[DATE]])</f>
        <v>2022</v>
      </c>
    </row>
    <row r="438" spans="1:16" x14ac:dyDescent="0.3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  <c r="G438" t="str">
        <f>VLOOKUP(InputData4[[#This Row],[PRODUCT ID]],MasterData[],2,0)</f>
        <v>Product39</v>
      </c>
      <c r="H438" t="str">
        <f>VLOOKUP(InputData4[[#This Row],[PRODUCT ID]],MasterData[],3,0)</f>
        <v>Category05</v>
      </c>
      <c r="I438" t="str">
        <f>VLOOKUP(InputData4[[#This Row],[PRODUCT ID]],MasterData[],4,0)</f>
        <v>No.</v>
      </c>
      <c r="J438" s="9">
        <f>VLOOKUP(InputData4[[#This Row],[PRODUCT ID]],MasterData[],5,0)</f>
        <v>37</v>
      </c>
      <c r="K438" s="9">
        <f>VLOOKUP(InputData4[[#This Row],[PRODUCT ID]],MasterData[],6,0)</f>
        <v>42.55</v>
      </c>
      <c r="L438" s="9">
        <f>InputData4[[#This Row],[QUANTITY]]*InputData4[[#This Row],[BUYING PRIZE]]</f>
        <v>185</v>
      </c>
      <c r="M438" s="9">
        <f>InputData4[[#This Row],[QUANTITY]]*InputData4[[#This Row],[SELLING PRICE]]*(1-InputData4[[#This Row],[DISCOUNT %]])</f>
        <v>212.75</v>
      </c>
      <c r="N438" s="7">
        <f>DAY(InputData4[[#This Row],[DATE]])</f>
        <v>28</v>
      </c>
      <c r="O438" s="7">
        <f>MONTH(InputData4[[#This Row],[DATE]])</f>
        <v>8</v>
      </c>
      <c r="P438" s="7">
        <f>YEAR(InputData4[[#This Row],[DATE]])</f>
        <v>2022</v>
      </c>
    </row>
    <row r="439" spans="1:16" x14ac:dyDescent="0.3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  <c r="G439" t="str">
        <f>VLOOKUP(InputData4[[#This Row],[PRODUCT ID]],MasterData[],2,0)</f>
        <v>Product06</v>
      </c>
      <c r="H439" t="str">
        <f>VLOOKUP(InputData4[[#This Row],[PRODUCT ID]],MasterData[],3,0)</f>
        <v>Category01</v>
      </c>
      <c r="I439" t="str">
        <f>VLOOKUP(InputData4[[#This Row],[PRODUCT ID]],MasterData[],4,0)</f>
        <v>Kg</v>
      </c>
      <c r="J439" s="9">
        <f>VLOOKUP(InputData4[[#This Row],[PRODUCT ID]],MasterData[],5,0)</f>
        <v>75</v>
      </c>
      <c r="K439" s="9">
        <f>VLOOKUP(InputData4[[#This Row],[PRODUCT ID]],MasterData[],6,0)</f>
        <v>85.5</v>
      </c>
      <c r="L439" s="9">
        <f>InputData4[[#This Row],[QUANTITY]]*InputData4[[#This Row],[BUYING PRIZE]]</f>
        <v>450</v>
      </c>
      <c r="M439" s="9">
        <f>InputData4[[#This Row],[QUANTITY]]*InputData4[[#This Row],[SELLING PRICE]]*(1-InputData4[[#This Row],[DISCOUNT %]])</f>
        <v>513</v>
      </c>
      <c r="N439" s="7">
        <f>DAY(InputData4[[#This Row],[DATE]])</f>
        <v>30</v>
      </c>
      <c r="O439" s="7">
        <f>MONTH(InputData4[[#This Row],[DATE]])</f>
        <v>8</v>
      </c>
      <c r="P439" s="7">
        <f>YEAR(InputData4[[#This Row],[DATE]])</f>
        <v>2022</v>
      </c>
    </row>
    <row r="440" spans="1:16" x14ac:dyDescent="0.3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  <c r="G440" t="str">
        <f>VLOOKUP(InputData4[[#This Row],[PRODUCT ID]],MasterData[],2,0)</f>
        <v>Product43</v>
      </c>
      <c r="H440" t="str">
        <f>VLOOKUP(InputData4[[#This Row],[PRODUCT ID]],MasterData[],3,0)</f>
        <v>Category05</v>
      </c>
      <c r="I440" t="str">
        <f>VLOOKUP(InputData4[[#This Row],[PRODUCT ID]],MasterData[],4,0)</f>
        <v>Kg</v>
      </c>
      <c r="J440" s="9">
        <f>VLOOKUP(InputData4[[#This Row],[PRODUCT ID]],MasterData[],5,0)</f>
        <v>67</v>
      </c>
      <c r="K440" s="9">
        <f>VLOOKUP(InputData4[[#This Row],[PRODUCT ID]],MasterData[],6,0)</f>
        <v>83.08</v>
      </c>
      <c r="L440" s="9">
        <f>InputData4[[#This Row],[QUANTITY]]*InputData4[[#This Row],[BUYING PRIZE]]</f>
        <v>402</v>
      </c>
      <c r="M440" s="9">
        <f>InputData4[[#This Row],[QUANTITY]]*InputData4[[#This Row],[SELLING PRICE]]*(1-InputData4[[#This Row],[DISCOUNT %]])</f>
        <v>498.48</v>
      </c>
      <c r="N440" s="7">
        <f>DAY(InputData4[[#This Row],[DATE]])</f>
        <v>30</v>
      </c>
      <c r="O440" s="7">
        <f>MONTH(InputData4[[#This Row],[DATE]])</f>
        <v>8</v>
      </c>
      <c r="P440" s="7">
        <f>YEAR(InputData4[[#This Row],[DATE]])</f>
        <v>2022</v>
      </c>
    </row>
    <row r="441" spans="1:16" x14ac:dyDescent="0.3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  <c r="G441" t="str">
        <f>VLOOKUP(InputData4[[#This Row],[PRODUCT ID]],MasterData[],2,0)</f>
        <v>Product25</v>
      </c>
      <c r="H441" t="str">
        <f>VLOOKUP(InputData4[[#This Row],[PRODUCT ID]],MasterData[],3,0)</f>
        <v>Category03</v>
      </c>
      <c r="I441" t="str">
        <f>VLOOKUP(InputData4[[#This Row],[PRODUCT ID]],MasterData[],4,0)</f>
        <v>No.</v>
      </c>
      <c r="J441" s="9">
        <f>VLOOKUP(InputData4[[#This Row],[PRODUCT ID]],MasterData[],5,0)</f>
        <v>7</v>
      </c>
      <c r="K441" s="9">
        <f>VLOOKUP(InputData4[[#This Row],[PRODUCT ID]],MasterData[],6,0)</f>
        <v>8.33</v>
      </c>
      <c r="L441" s="9">
        <f>InputData4[[#This Row],[QUANTITY]]*InputData4[[#This Row],[BUYING PRIZE]]</f>
        <v>35</v>
      </c>
      <c r="M441" s="9">
        <f>InputData4[[#This Row],[QUANTITY]]*InputData4[[#This Row],[SELLING PRICE]]*(1-InputData4[[#This Row],[DISCOUNT %]])</f>
        <v>41.65</v>
      </c>
      <c r="N441" s="7">
        <f>DAY(InputData4[[#This Row],[DATE]])</f>
        <v>30</v>
      </c>
      <c r="O441" s="7">
        <f>MONTH(InputData4[[#This Row],[DATE]])</f>
        <v>8</v>
      </c>
      <c r="P441" s="7">
        <f>YEAR(InputData4[[#This Row],[DATE]])</f>
        <v>2022</v>
      </c>
    </row>
    <row r="442" spans="1:16" x14ac:dyDescent="0.3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  <c r="G442" t="str">
        <f>VLOOKUP(InputData4[[#This Row],[PRODUCT ID]],MasterData[],2,0)</f>
        <v>Product15</v>
      </c>
      <c r="H442" t="str">
        <f>VLOOKUP(InputData4[[#This Row],[PRODUCT ID]],MasterData[],3,0)</f>
        <v>Category02</v>
      </c>
      <c r="I442" t="str">
        <f>VLOOKUP(InputData4[[#This Row],[PRODUCT ID]],MasterData[],4,0)</f>
        <v>No.</v>
      </c>
      <c r="J442" s="9">
        <f>VLOOKUP(InputData4[[#This Row],[PRODUCT ID]],MasterData[],5,0)</f>
        <v>12</v>
      </c>
      <c r="K442" s="9">
        <f>VLOOKUP(InputData4[[#This Row],[PRODUCT ID]],MasterData[],6,0)</f>
        <v>15.719999999999999</v>
      </c>
      <c r="L442" s="9">
        <f>InputData4[[#This Row],[QUANTITY]]*InputData4[[#This Row],[BUYING PRIZE]]</f>
        <v>156</v>
      </c>
      <c r="M442" s="9">
        <f>InputData4[[#This Row],[QUANTITY]]*InputData4[[#This Row],[SELLING PRICE]]*(1-InputData4[[#This Row],[DISCOUNT %]])</f>
        <v>204.35999999999999</v>
      </c>
      <c r="N442" s="7">
        <f>DAY(InputData4[[#This Row],[DATE]])</f>
        <v>31</v>
      </c>
      <c r="O442" s="7">
        <f>MONTH(InputData4[[#This Row],[DATE]])</f>
        <v>8</v>
      </c>
      <c r="P442" s="7">
        <f>YEAR(InputData4[[#This Row],[DATE]])</f>
        <v>2022</v>
      </c>
    </row>
    <row r="443" spans="1:16" x14ac:dyDescent="0.3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  <c r="G443" t="str">
        <f>VLOOKUP(InputData4[[#This Row],[PRODUCT ID]],MasterData[],2,0)</f>
        <v>Product02</v>
      </c>
      <c r="H443" t="str">
        <f>VLOOKUP(InputData4[[#This Row],[PRODUCT ID]],MasterData[],3,0)</f>
        <v>Category01</v>
      </c>
      <c r="I443" t="str">
        <f>VLOOKUP(InputData4[[#This Row],[PRODUCT ID]],MasterData[],4,0)</f>
        <v>Kg</v>
      </c>
      <c r="J443" s="9">
        <f>VLOOKUP(InputData4[[#This Row],[PRODUCT ID]],MasterData[],5,0)</f>
        <v>105</v>
      </c>
      <c r="K443" s="9">
        <f>VLOOKUP(InputData4[[#This Row],[PRODUCT ID]],MasterData[],6,0)</f>
        <v>142.80000000000001</v>
      </c>
      <c r="L443" s="9">
        <f>InputData4[[#This Row],[QUANTITY]]*InputData4[[#This Row],[BUYING PRIZE]]</f>
        <v>105</v>
      </c>
      <c r="M443" s="9">
        <f>InputData4[[#This Row],[QUANTITY]]*InputData4[[#This Row],[SELLING PRICE]]*(1-InputData4[[#This Row],[DISCOUNT %]])</f>
        <v>142.80000000000001</v>
      </c>
      <c r="N443" s="7">
        <f>DAY(InputData4[[#This Row],[DATE]])</f>
        <v>4</v>
      </c>
      <c r="O443" s="7">
        <f>MONTH(InputData4[[#This Row],[DATE]])</f>
        <v>9</v>
      </c>
      <c r="P443" s="7">
        <f>YEAR(InputData4[[#This Row],[DATE]])</f>
        <v>2022</v>
      </c>
    </row>
    <row r="444" spans="1:16" x14ac:dyDescent="0.3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  <c r="G444" t="str">
        <f>VLOOKUP(InputData4[[#This Row],[PRODUCT ID]],MasterData[],2,0)</f>
        <v>Product05</v>
      </c>
      <c r="H444" t="str">
        <f>VLOOKUP(InputData4[[#This Row],[PRODUCT ID]],MasterData[],3,0)</f>
        <v>Category01</v>
      </c>
      <c r="I444" t="str">
        <f>VLOOKUP(InputData4[[#This Row],[PRODUCT ID]],MasterData[],4,0)</f>
        <v>Ft</v>
      </c>
      <c r="J444" s="9">
        <f>VLOOKUP(InputData4[[#This Row],[PRODUCT ID]],MasterData[],5,0)</f>
        <v>133</v>
      </c>
      <c r="K444" s="9">
        <f>VLOOKUP(InputData4[[#This Row],[PRODUCT ID]],MasterData[],6,0)</f>
        <v>155.61000000000001</v>
      </c>
      <c r="L444" s="9">
        <f>InputData4[[#This Row],[QUANTITY]]*InputData4[[#This Row],[BUYING PRIZE]]</f>
        <v>1596</v>
      </c>
      <c r="M444" s="9">
        <f>InputData4[[#This Row],[QUANTITY]]*InputData4[[#This Row],[SELLING PRICE]]*(1-InputData4[[#This Row],[DISCOUNT %]])</f>
        <v>1867.3200000000002</v>
      </c>
      <c r="N444" s="7">
        <f>DAY(InputData4[[#This Row],[DATE]])</f>
        <v>6</v>
      </c>
      <c r="O444" s="7">
        <f>MONTH(InputData4[[#This Row],[DATE]])</f>
        <v>9</v>
      </c>
      <c r="P444" s="7">
        <f>YEAR(InputData4[[#This Row],[DATE]])</f>
        <v>2022</v>
      </c>
    </row>
    <row r="445" spans="1:16" x14ac:dyDescent="0.3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  <c r="G445" t="str">
        <f>VLOOKUP(InputData4[[#This Row],[PRODUCT ID]],MasterData[],2,0)</f>
        <v>Product41</v>
      </c>
      <c r="H445" t="str">
        <f>VLOOKUP(InputData4[[#This Row],[PRODUCT ID]],MasterData[],3,0)</f>
        <v>Category05</v>
      </c>
      <c r="I445" t="str">
        <f>VLOOKUP(InputData4[[#This Row],[PRODUCT ID]],MasterData[],4,0)</f>
        <v>Ft</v>
      </c>
      <c r="J445" s="9">
        <f>VLOOKUP(InputData4[[#This Row],[PRODUCT ID]],MasterData[],5,0)</f>
        <v>138</v>
      </c>
      <c r="K445" s="9">
        <f>VLOOKUP(InputData4[[#This Row],[PRODUCT ID]],MasterData[],6,0)</f>
        <v>173.88</v>
      </c>
      <c r="L445" s="9">
        <f>InputData4[[#This Row],[QUANTITY]]*InputData4[[#This Row],[BUYING PRIZE]]</f>
        <v>1242</v>
      </c>
      <c r="M445" s="9">
        <f>InputData4[[#This Row],[QUANTITY]]*InputData4[[#This Row],[SELLING PRICE]]*(1-InputData4[[#This Row],[DISCOUNT %]])</f>
        <v>1564.92</v>
      </c>
      <c r="N445" s="7">
        <f>DAY(InputData4[[#This Row],[DATE]])</f>
        <v>9</v>
      </c>
      <c r="O445" s="7">
        <f>MONTH(InputData4[[#This Row],[DATE]])</f>
        <v>9</v>
      </c>
      <c r="P445" s="7">
        <f>YEAR(InputData4[[#This Row],[DATE]])</f>
        <v>2022</v>
      </c>
    </row>
    <row r="446" spans="1:16" x14ac:dyDescent="0.3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  <c r="G446" t="str">
        <f>VLOOKUP(InputData4[[#This Row],[PRODUCT ID]],MasterData[],2,0)</f>
        <v>Product03</v>
      </c>
      <c r="H446" t="str">
        <f>VLOOKUP(InputData4[[#This Row],[PRODUCT ID]],MasterData[],3,0)</f>
        <v>Category01</v>
      </c>
      <c r="I446" t="str">
        <f>VLOOKUP(InputData4[[#This Row],[PRODUCT ID]],MasterData[],4,0)</f>
        <v>Kg</v>
      </c>
      <c r="J446" s="9">
        <f>VLOOKUP(InputData4[[#This Row],[PRODUCT ID]],MasterData[],5,0)</f>
        <v>71</v>
      </c>
      <c r="K446" s="9">
        <f>VLOOKUP(InputData4[[#This Row],[PRODUCT ID]],MasterData[],6,0)</f>
        <v>80.94</v>
      </c>
      <c r="L446" s="9">
        <f>InputData4[[#This Row],[QUANTITY]]*InputData4[[#This Row],[BUYING PRIZE]]</f>
        <v>213</v>
      </c>
      <c r="M446" s="9">
        <f>InputData4[[#This Row],[QUANTITY]]*InputData4[[#This Row],[SELLING PRICE]]*(1-InputData4[[#This Row],[DISCOUNT %]])</f>
        <v>242.82</v>
      </c>
      <c r="N446" s="7">
        <f>DAY(InputData4[[#This Row],[DATE]])</f>
        <v>9</v>
      </c>
      <c r="O446" s="7">
        <f>MONTH(InputData4[[#This Row],[DATE]])</f>
        <v>9</v>
      </c>
      <c r="P446" s="7">
        <f>YEAR(InputData4[[#This Row],[DATE]])</f>
        <v>2022</v>
      </c>
    </row>
    <row r="447" spans="1:16" x14ac:dyDescent="0.3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  <c r="G447" t="str">
        <f>VLOOKUP(InputData4[[#This Row],[PRODUCT ID]],MasterData[],2,0)</f>
        <v>Product35</v>
      </c>
      <c r="H447" t="str">
        <f>VLOOKUP(InputData4[[#This Row],[PRODUCT ID]],MasterData[],3,0)</f>
        <v>Category04</v>
      </c>
      <c r="I447" t="str">
        <f>VLOOKUP(InputData4[[#This Row],[PRODUCT ID]],MasterData[],4,0)</f>
        <v>No.</v>
      </c>
      <c r="J447" s="9">
        <f>VLOOKUP(InputData4[[#This Row],[PRODUCT ID]],MasterData[],5,0)</f>
        <v>5</v>
      </c>
      <c r="K447" s="9">
        <f>VLOOKUP(InputData4[[#This Row],[PRODUCT ID]],MasterData[],6,0)</f>
        <v>6.7</v>
      </c>
      <c r="L447" s="9">
        <f>InputData4[[#This Row],[QUANTITY]]*InputData4[[#This Row],[BUYING PRIZE]]</f>
        <v>75</v>
      </c>
      <c r="M447" s="9">
        <f>InputData4[[#This Row],[QUANTITY]]*InputData4[[#This Row],[SELLING PRICE]]*(1-InputData4[[#This Row],[DISCOUNT %]])</f>
        <v>100.5</v>
      </c>
      <c r="N447" s="7">
        <f>DAY(InputData4[[#This Row],[DATE]])</f>
        <v>10</v>
      </c>
      <c r="O447" s="7">
        <f>MONTH(InputData4[[#This Row],[DATE]])</f>
        <v>9</v>
      </c>
      <c r="P447" s="7">
        <f>YEAR(InputData4[[#This Row],[DATE]])</f>
        <v>2022</v>
      </c>
    </row>
    <row r="448" spans="1:16" x14ac:dyDescent="0.3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  <c r="G448" t="str">
        <f>VLOOKUP(InputData4[[#This Row],[PRODUCT ID]],MasterData[],2,0)</f>
        <v>Product38</v>
      </c>
      <c r="H448" t="str">
        <f>VLOOKUP(InputData4[[#This Row],[PRODUCT ID]],MasterData[],3,0)</f>
        <v>Category05</v>
      </c>
      <c r="I448" t="str">
        <f>VLOOKUP(InputData4[[#This Row],[PRODUCT ID]],MasterData[],4,0)</f>
        <v>Kg</v>
      </c>
      <c r="J448" s="9">
        <f>VLOOKUP(InputData4[[#This Row],[PRODUCT ID]],MasterData[],5,0)</f>
        <v>72</v>
      </c>
      <c r="K448" s="9">
        <f>VLOOKUP(InputData4[[#This Row],[PRODUCT ID]],MasterData[],6,0)</f>
        <v>79.92</v>
      </c>
      <c r="L448" s="9">
        <f>InputData4[[#This Row],[QUANTITY]]*InputData4[[#This Row],[BUYING PRIZE]]</f>
        <v>288</v>
      </c>
      <c r="M448" s="9">
        <f>InputData4[[#This Row],[QUANTITY]]*InputData4[[#This Row],[SELLING PRICE]]*(1-InputData4[[#This Row],[DISCOUNT %]])</f>
        <v>319.68</v>
      </c>
      <c r="N448" s="7">
        <f>DAY(InputData4[[#This Row],[DATE]])</f>
        <v>10</v>
      </c>
      <c r="O448" s="7">
        <f>MONTH(InputData4[[#This Row],[DATE]])</f>
        <v>9</v>
      </c>
      <c r="P448" s="7">
        <f>YEAR(InputData4[[#This Row],[DATE]])</f>
        <v>2022</v>
      </c>
    </row>
    <row r="449" spans="1:16" x14ac:dyDescent="0.3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  <c r="G449" t="str">
        <f>VLOOKUP(InputData4[[#This Row],[PRODUCT ID]],MasterData[],2,0)</f>
        <v>Product29</v>
      </c>
      <c r="H449" t="str">
        <f>VLOOKUP(InputData4[[#This Row],[PRODUCT ID]],MasterData[],3,0)</f>
        <v>Category04</v>
      </c>
      <c r="I449" t="str">
        <f>VLOOKUP(InputData4[[#This Row],[PRODUCT ID]],MasterData[],4,0)</f>
        <v>Lt</v>
      </c>
      <c r="J449" s="9">
        <f>VLOOKUP(InputData4[[#This Row],[PRODUCT ID]],MasterData[],5,0)</f>
        <v>47</v>
      </c>
      <c r="K449" s="9">
        <f>VLOOKUP(InputData4[[#This Row],[PRODUCT ID]],MasterData[],6,0)</f>
        <v>53.11</v>
      </c>
      <c r="L449" s="9">
        <f>InputData4[[#This Row],[QUANTITY]]*InputData4[[#This Row],[BUYING PRIZE]]</f>
        <v>141</v>
      </c>
      <c r="M449" s="9">
        <f>InputData4[[#This Row],[QUANTITY]]*InputData4[[#This Row],[SELLING PRICE]]*(1-InputData4[[#This Row],[DISCOUNT %]])</f>
        <v>159.32999999999998</v>
      </c>
      <c r="N449" s="7">
        <f>DAY(InputData4[[#This Row],[DATE]])</f>
        <v>14</v>
      </c>
      <c r="O449" s="7">
        <f>MONTH(InputData4[[#This Row],[DATE]])</f>
        <v>9</v>
      </c>
      <c r="P449" s="7">
        <f>YEAR(InputData4[[#This Row],[DATE]])</f>
        <v>2022</v>
      </c>
    </row>
    <row r="450" spans="1:16" x14ac:dyDescent="0.3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  <c r="G450" t="str">
        <f>VLOOKUP(InputData4[[#This Row],[PRODUCT ID]],MasterData[],2,0)</f>
        <v>Product37</v>
      </c>
      <c r="H450" t="str">
        <f>VLOOKUP(InputData4[[#This Row],[PRODUCT ID]],MasterData[],3,0)</f>
        <v>Category05</v>
      </c>
      <c r="I450" t="str">
        <f>VLOOKUP(InputData4[[#This Row],[PRODUCT ID]],MasterData[],4,0)</f>
        <v>Kg</v>
      </c>
      <c r="J450" s="9">
        <f>VLOOKUP(InputData4[[#This Row],[PRODUCT ID]],MasterData[],5,0)</f>
        <v>67</v>
      </c>
      <c r="K450" s="9">
        <f>VLOOKUP(InputData4[[#This Row],[PRODUCT ID]],MasterData[],6,0)</f>
        <v>85.76</v>
      </c>
      <c r="L450" s="9">
        <f>InputData4[[#This Row],[QUANTITY]]*InputData4[[#This Row],[BUYING PRIZE]]</f>
        <v>1005</v>
      </c>
      <c r="M450" s="9">
        <f>InputData4[[#This Row],[QUANTITY]]*InputData4[[#This Row],[SELLING PRICE]]*(1-InputData4[[#This Row],[DISCOUNT %]])</f>
        <v>1286.4000000000001</v>
      </c>
      <c r="N450" s="7">
        <f>DAY(InputData4[[#This Row],[DATE]])</f>
        <v>15</v>
      </c>
      <c r="O450" s="7">
        <f>MONTH(InputData4[[#This Row],[DATE]])</f>
        <v>9</v>
      </c>
      <c r="P450" s="7">
        <f>YEAR(InputData4[[#This Row],[DATE]])</f>
        <v>2022</v>
      </c>
    </row>
    <row r="451" spans="1:16" x14ac:dyDescent="0.3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  <c r="G451" t="str">
        <f>VLOOKUP(InputData4[[#This Row],[PRODUCT ID]],MasterData[],2,0)</f>
        <v>Product26</v>
      </c>
      <c r="H451" t="str">
        <f>VLOOKUP(InputData4[[#This Row],[PRODUCT ID]],MasterData[],3,0)</f>
        <v>Category04</v>
      </c>
      <c r="I451" t="str">
        <f>VLOOKUP(InputData4[[#This Row],[PRODUCT ID]],MasterData[],4,0)</f>
        <v>No.</v>
      </c>
      <c r="J451" s="9">
        <f>VLOOKUP(InputData4[[#This Row],[PRODUCT ID]],MasterData[],5,0)</f>
        <v>18</v>
      </c>
      <c r="K451" s="9">
        <f>VLOOKUP(InputData4[[#This Row],[PRODUCT ID]],MasterData[],6,0)</f>
        <v>24.66</v>
      </c>
      <c r="L451" s="9">
        <f>InputData4[[#This Row],[QUANTITY]]*InputData4[[#This Row],[BUYING PRIZE]]</f>
        <v>252</v>
      </c>
      <c r="M451" s="9">
        <f>InputData4[[#This Row],[QUANTITY]]*InputData4[[#This Row],[SELLING PRICE]]*(1-InputData4[[#This Row],[DISCOUNT %]])</f>
        <v>345.24</v>
      </c>
      <c r="N451" s="7">
        <f>DAY(InputData4[[#This Row],[DATE]])</f>
        <v>18</v>
      </c>
      <c r="O451" s="7">
        <f>MONTH(InputData4[[#This Row],[DATE]])</f>
        <v>9</v>
      </c>
      <c r="P451" s="7">
        <f>YEAR(InputData4[[#This Row],[DATE]])</f>
        <v>2022</v>
      </c>
    </row>
    <row r="452" spans="1:16" x14ac:dyDescent="0.3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  <c r="G452" t="str">
        <f>VLOOKUP(InputData4[[#This Row],[PRODUCT ID]],MasterData[],2,0)</f>
        <v>Product33</v>
      </c>
      <c r="H452" t="str">
        <f>VLOOKUP(InputData4[[#This Row],[PRODUCT ID]],MasterData[],3,0)</f>
        <v>Category04</v>
      </c>
      <c r="I452" t="str">
        <f>VLOOKUP(InputData4[[#This Row],[PRODUCT ID]],MasterData[],4,0)</f>
        <v>Kg</v>
      </c>
      <c r="J452" s="9">
        <f>VLOOKUP(InputData4[[#This Row],[PRODUCT ID]],MasterData[],5,0)</f>
        <v>95</v>
      </c>
      <c r="K452" s="9">
        <f>VLOOKUP(InputData4[[#This Row],[PRODUCT ID]],MasterData[],6,0)</f>
        <v>119.7</v>
      </c>
      <c r="L452" s="9">
        <f>InputData4[[#This Row],[QUANTITY]]*InputData4[[#This Row],[BUYING PRIZE]]</f>
        <v>760</v>
      </c>
      <c r="M452" s="9">
        <f>InputData4[[#This Row],[QUANTITY]]*InputData4[[#This Row],[SELLING PRICE]]*(1-InputData4[[#This Row],[DISCOUNT %]])</f>
        <v>957.6</v>
      </c>
      <c r="N452" s="7">
        <f>DAY(InputData4[[#This Row],[DATE]])</f>
        <v>19</v>
      </c>
      <c r="O452" s="7">
        <f>MONTH(InputData4[[#This Row],[DATE]])</f>
        <v>9</v>
      </c>
      <c r="P452" s="7">
        <f>YEAR(InputData4[[#This Row],[DATE]])</f>
        <v>2022</v>
      </c>
    </row>
    <row r="453" spans="1:16" x14ac:dyDescent="0.3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  <c r="G453" t="str">
        <f>VLOOKUP(InputData4[[#This Row],[PRODUCT ID]],MasterData[],2,0)</f>
        <v>Product33</v>
      </c>
      <c r="H453" t="str">
        <f>VLOOKUP(InputData4[[#This Row],[PRODUCT ID]],MasterData[],3,0)</f>
        <v>Category04</v>
      </c>
      <c r="I453" t="str">
        <f>VLOOKUP(InputData4[[#This Row],[PRODUCT ID]],MasterData[],4,0)</f>
        <v>Kg</v>
      </c>
      <c r="J453" s="9">
        <f>VLOOKUP(InputData4[[#This Row],[PRODUCT ID]],MasterData[],5,0)</f>
        <v>95</v>
      </c>
      <c r="K453" s="9">
        <f>VLOOKUP(InputData4[[#This Row],[PRODUCT ID]],MasterData[],6,0)</f>
        <v>119.7</v>
      </c>
      <c r="L453" s="9">
        <f>InputData4[[#This Row],[QUANTITY]]*InputData4[[#This Row],[BUYING PRIZE]]</f>
        <v>570</v>
      </c>
      <c r="M453" s="9">
        <f>InputData4[[#This Row],[QUANTITY]]*InputData4[[#This Row],[SELLING PRICE]]*(1-InputData4[[#This Row],[DISCOUNT %]])</f>
        <v>718.2</v>
      </c>
      <c r="N453" s="7">
        <f>DAY(InputData4[[#This Row],[DATE]])</f>
        <v>20</v>
      </c>
      <c r="O453" s="7">
        <f>MONTH(InputData4[[#This Row],[DATE]])</f>
        <v>9</v>
      </c>
      <c r="P453" s="7">
        <f>YEAR(InputData4[[#This Row],[DATE]])</f>
        <v>2022</v>
      </c>
    </row>
    <row r="454" spans="1:16" x14ac:dyDescent="0.3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  <c r="G454" t="str">
        <f>VLOOKUP(InputData4[[#This Row],[PRODUCT ID]],MasterData[],2,0)</f>
        <v>Product01</v>
      </c>
      <c r="H454" t="str">
        <f>VLOOKUP(InputData4[[#This Row],[PRODUCT ID]],MasterData[],3,0)</f>
        <v>Category01</v>
      </c>
      <c r="I454" t="str">
        <f>VLOOKUP(InputData4[[#This Row],[PRODUCT ID]],MasterData[],4,0)</f>
        <v>Kg</v>
      </c>
      <c r="J454" s="9">
        <f>VLOOKUP(InputData4[[#This Row],[PRODUCT ID]],MasterData[],5,0)</f>
        <v>98</v>
      </c>
      <c r="K454" s="9">
        <f>VLOOKUP(InputData4[[#This Row],[PRODUCT ID]],MasterData[],6,0)</f>
        <v>103.88</v>
      </c>
      <c r="L454" s="9">
        <f>InputData4[[#This Row],[QUANTITY]]*InputData4[[#This Row],[BUYING PRIZE]]</f>
        <v>980</v>
      </c>
      <c r="M454" s="9">
        <f>InputData4[[#This Row],[QUANTITY]]*InputData4[[#This Row],[SELLING PRICE]]*(1-InputData4[[#This Row],[DISCOUNT %]])</f>
        <v>1038.8</v>
      </c>
      <c r="N454" s="7">
        <f>DAY(InputData4[[#This Row],[DATE]])</f>
        <v>20</v>
      </c>
      <c r="O454" s="7">
        <f>MONTH(InputData4[[#This Row],[DATE]])</f>
        <v>9</v>
      </c>
      <c r="P454" s="7">
        <f>YEAR(InputData4[[#This Row],[DATE]])</f>
        <v>2022</v>
      </c>
    </row>
    <row r="455" spans="1:16" x14ac:dyDescent="0.3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  <c r="G455" t="str">
        <f>VLOOKUP(InputData4[[#This Row],[PRODUCT ID]],MasterData[],2,0)</f>
        <v>Product18</v>
      </c>
      <c r="H455" t="str">
        <f>VLOOKUP(InputData4[[#This Row],[PRODUCT ID]],MasterData[],3,0)</f>
        <v>Category02</v>
      </c>
      <c r="I455" t="str">
        <f>VLOOKUP(InputData4[[#This Row],[PRODUCT ID]],MasterData[],4,0)</f>
        <v>No.</v>
      </c>
      <c r="J455" s="9">
        <f>VLOOKUP(InputData4[[#This Row],[PRODUCT ID]],MasterData[],5,0)</f>
        <v>37</v>
      </c>
      <c r="K455" s="9">
        <f>VLOOKUP(InputData4[[#This Row],[PRODUCT ID]],MasterData[],6,0)</f>
        <v>49.21</v>
      </c>
      <c r="L455" s="9">
        <f>InputData4[[#This Row],[QUANTITY]]*InputData4[[#This Row],[BUYING PRIZE]]</f>
        <v>518</v>
      </c>
      <c r="M455" s="9">
        <f>InputData4[[#This Row],[QUANTITY]]*InputData4[[#This Row],[SELLING PRICE]]*(1-InputData4[[#This Row],[DISCOUNT %]])</f>
        <v>688.94</v>
      </c>
      <c r="N455" s="7">
        <f>DAY(InputData4[[#This Row],[DATE]])</f>
        <v>21</v>
      </c>
      <c r="O455" s="7">
        <f>MONTH(InputData4[[#This Row],[DATE]])</f>
        <v>9</v>
      </c>
      <c r="P455" s="7">
        <f>YEAR(InputData4[[#This Row],[DATE]])</f>
        <v>2022</v>
      </c>
    </row>
    <row r="456" spans="1:16" x14ac:dyDescent="0.3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  <c r="G456" t="str">
        <f>VLOOKUP(InputData4[[#This Row],[PRODUCT ID]],MasterData[],2,0)</f>
        <v>Product26</v>
      </c>
      <c r="H456" t="str">
        <f>VLOOKUP(InputData4[[#This Row],[PRODUCT ID]],MasterData[],3,0)</f>
        <v>Category04</v>
      </c>
      <c r="I456" t="str">
        <f>VLOOKUP(InputData4[[#This Row],[PRODUCT ID]],MasterData[],4,0)</f>
        <v>No.</v>
      </c>
      <c r="J456" s="9">
        <f>VLOOKUP(InputData4[[#This Row],[PRODUCT ID]],MasterData[],5,0)</f>
        <v>18</v>
      </c>
      <c r="K456" s="9">
        <f>VLOOKUP(InputData4[[#This Row],[PRODUCT ID]],MasterData[],6,0)</f>
        <v>24.66</v>
      </c>
      <c r="L456" s="9">
        <f>InputData4[[#This Row],[QUANTITY]]*InputData4[[#This Row],[BUYING PRIZE]]</f>
        <v>90</v>
      </c>
      <c r="M456" s="9">
        <f>InputData4[[#This Row],[QUANTITY]]*InputData4[[#This Row],[SELLING PRICE]]*(1-InputData4[[#This Row],[DISCOUNT %]])</f>
        <v>123.3</v>
      </c>
      <c r="N456" s="7">
        <f>DAY(InputData4[[#This Row],[DATE]])</f>
        <v>21</v>
      </c>
      <c r="O456" s="7">
        <f>MONTH(InputData4[[#This Row],[DATE]])</f>
        <v>9</v>
      </c>
      <c r="P456" s="7">
        <f>YEAR(InputData4[[#This Row],[DATE]])</f>
        <v>2022</v>
      </c>
    </row>
    <row r="457" spans="1:16" x14ac:dyDescent="0.3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  <c r="G457" t="str">
        <f>VLOOKUP(InputData4[[#This Row],[PRODUCT ID]],MasterData[],2,0)</f>
        <v>Product43</v>
      </c>
      <c r="H457" t="str">
        <f>VLOOKUP(InputData4[[#This Row],[PRODUCT ID]],MasterData[],3,0)</f>
        <v>Category05</v>
      </c>
      <c r="I457" t="str">
        <f>VLOOKUP(InputData4[[#This Row],[PRODUCT ID]],MasterData[],4,0)</f>
        <v>Kg</v>
      </c>
      <c r="J457" s="9">
        <f>VLOOKUP(InputData4[[#This Row],[PRODUCT ID]],MasterData[],5,0)</f>
        <v>67</v>
      </c>
      <c r="K457" s="9">
        <f>VLOOKUP(InputData4[[#This Row],[PRODUCT ID]],MasterData[],6,0)</f>
        <v>83.08</v>
      </c>
      <c r="L457" s="9">
        <f>InputData4[[#This Row],[QUANTITY]]*InputData4[[#This Row],[BUYING PRIZE]]</f>
        <v>804</v>
      </c>
      <c r="M457" s="9">
        <f>InputData4[[#This Row],[QUANTITY]]*InputData4[[#This Row],[SELLING PRICE]]*(1-InputData4[[#This Row],[DISCOUNT %]])</f>
        <v>996.96</v>
      </c>
      <c r="N457" s="7">
        <f>DAY(InputData4[[#This Row],[DATE]])</f>
        <v>22</v>
      </c>
      <c r="O457" s="7">
        <f>MONTH(InputData4[[#This Row],[DATE]])</f>
        <v>9</v>
      </c>
      <c r="P457" s="7">
        <f>YEAR(InputData4[[#This Row],[DATE]])</f>
        <v>2022</v>
      </c>
    </row>
    <row r="458" spans="1:16" x14ac:dyDescent="0.3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  <c r="G458" t="str">
        <f>VLOOKUP(InputData4[[#This Row],[PRODUCT ID]],MasterData[],2,0)</f>
        <v>Product12</v>
      </c>
      <c r="H458" t="str">
        <f>VLOOKUP(InputData4[[#This Row],[PRODUCT ID]],MasterData[],3,0)</f>
        <v>Category02</v>
      </c>
      <c r="I458" t="str">
        <f>VLOOKUP(InputData4[[#This Row],[PRODUCT ID]],MasterData[],4,0)</f>
        <v>Kg</v>
      </c>
      <c r="J458" s="9">
        <f>VLOOKUP(InputData4[[#This Row],[PRODUCT ID]],MasterData[],5,0)</f>
        <v>73</v>
      </c>
      <c r="K458" s="9">
        <f>VLOOKUP(InputData4[[#This Row],[PRODUCT ID]],MasterData[],6,0)</f>
        <v>94.17</v>
      </c>
      <c r="L458" s="9">
        <f>InputData4[[#This Row],[QUANTITY]]*InputData4[[#This Row],[BUYING PRIZE]]</f>
        <v>876</v>
      </c>
      <c r="M458" s="9">
        <f>InputData4[[#This Row],[QUANTITY]]*InputData4[[#This Row],[SELLING PRICE]]*(1-InputData4[[#This Row],[DISCOUNT %]])</f>
        <v>1130.04</v>
      </c>
      <c r="N458" s="7">
        <f>DAY(InputData4[[#This Row],[DATE]])</f>
        <v>23</v>
      </c>
      <c r="O458" s="7">
        <f>MONTH(InputData4[[#This Row],[DATE]])</f>
        <v>9</v>
      </c>
      <c r="P458" s="7">
        <f>YEAR(InputData4[[#This Row],[DATE]])</f>
        <v>2022</v>
      </c>
    </row>
    <row r="459" spans="1:16" x14ac:dyDescent="0.3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  <c r="G459" t="str">
        <f>VLOOKUP(InputData4[[#This Row],[PRODUCT ID]],MasterData[],2,0)</f>
        <v>Product32</v>
      </c>
      <c r="H459" t="str">
        <f>VLOOKUP(InputData4[[#This Row],[PRODUCT ID]],MasterData[],3,0)</f>
        <v>Category04</v>
      </c>
      <c r="I459" t="str">
        <f>VLOOKUP(InputData4[[#This Row],[PRODUCT ID]],MasterData[],4,0)</f>
        <v>Kg</v>
      </c>
      <c r="J459" s="9">
        <f>VLOOKUP(InputData4[[#This Row],[PRODUCT ID]],MasterData[],5,0)</f>
        <v>89</v>
      </c>
      <c r="K459" s="9">
        <f>VLOOKUP(InputData4[[#This Row],[PRODUCT ID]],MasterData[],6,0)</f>
        <v>117.48</v>
      </c>
      <c r="L459" s="9">
        <f>InputData4[[#This Row],[QUANTITY]]*InputData4[[#This Row],[BUYING PRIZE]]</f>
        <v>1246</v>
      </c>
      <c r="M459" s="9">
        <f>InputData4[[#This Row],[QUANTITY]]*InputData4[[#This Row],[SELLING PRICE]]*(1-InputData4[[#This Row],[DISCOUNT %]])</f>
        <v>1644.72</v>
      </c>
      <c r="N459" s="7">
        <f>DAY(InputData4[[#This Row],[DATE]])</f>
        <v>24</v>
      </c>
      <c r="O459" s="7">
        <f>MONTH(InputData4[[#This Row],[DATE]])</f>
        <v>9</v>
      </c>
      <c r="P459" s="7">
        <f>YEAR(InputData4[[#This Row],[DATE]])</f>
        <v>2022</v>
      </c>
    </row>
    <row r="460" spans="1:16" x14ac:dyDescent="0.3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  <c r="G460" t="str">
        <f>VLOOKUP(InputData4[[#This Row],[PRODUCT ID]],MasterData[],2,0)</f>
        <v>Product32</v>
      </c>
      <c r="H460" t="str">
        <f>VLOOKUP(InputData4[[#This Row],[PRODUCT ID]],MasterData[],3,0)</f>
        <v>Category04</v>
      </c>
      <c r="I460" t="str">
        <f>VLOOKUP(InputData4[[#This Row],[PRODUCT ID]],MasterData[],4,0)</f>
        <v>Kg</v>
      </c>
      <c r="J460" s="9">
        <f>VLOOKUP(InputData4[[#This Row],[PRODUCT ID]],MasterData[],5,0)</f>
        <v>89</v>
      </c>
      <c r="K460" s="9">
        <f>VLOOKUP(InputData4[[#This Row],[PRODUCT ID]],MasterData[],6,0)</f>
        <v>117.48</v>
      </c>
      <c r="L460" s="9">
        <f>InputData4[[#This Row],[QUANTITY]]*InputData4[[#This Row],[BUYING PRIZE]]</f>
        <v>712</v>
      </c>
      <c r="M460" s="9">
        <f>InputData4[[#This Row],[QUANTITY]]*InputData4[[#This Row],[SELLING PRICE]]*(1-InputData4[[#This Row],[DISCOUNT %]])</f>
        <v>939.84</v>
      </c>
      <c r="N460" s="7">
        <f>DAY(InputData4[[#This Row],[DATE]])</f>
        <v>24</v>
      </c>
      <c r="O460" s="7">
        <f>MONTH(InputData4[[#This Row],[DATE]])</f>
        <v>9</v>
      </c>
      <c r="P460" s="7">
        <f>YEAR(InputData4[[#This Row],[DATE]])</f>
        <v>2022</v>
      </c>
    </row>
    <row r="461" spans="1:16" x14ac:dyDescent="0.3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  <c r="G461" t="str">
        <f>VLOOKUP(InputData4[[#This Row],[PRODUCT ID]],MasterData[],2,0)</f>
        <v>Product36</v>
      </c>
      <c r="H461" t="str">
        <f>VLOOKUP(InputData4[[#This Row],[PRODUCT ID]],MasterData[],3,0)</f>
        <v>Category04</v>
      </c>
      <c r="I461" t="str">
        <f>VLOOKUP(InputData4[[#This Row],[PRODUCT ID]],MasterData[],4,0)</f>
        <v>Kg</v>
      </c>
      <c r="J461" s="9">
        <f>VLOOKUP(InputData4[[#This Row],[PRODUCT ID]],MasterData[],5,0)</f>
        <v>90</v>
      </c>
      <c r="K461" s="9">
        <f>VLOOKUP(InputData4[[#This Row],[PRODUCT ID]],MasterData[],6,0)</f>
        <v>96.3</v>
      </c>
      <c r="L461" s="9">
        <f>InputData4[[#This Row],[QUANTITY]]*InputData4[[#This Row],[BUYING PRIZE]]</f>
        <v>360</v>
      </c>
      <c r="M461" s="9">
        <f>InputData4[[#This Row],[QUANTITY]]*InputData4[[#This Row],[SELLING PRICE]]*(1-InputData4[[#This Row],[DISCOUNT %]])</f>
        <v>385.2</v>
      </c>
      <c r="N461" s="7">
        <f>DAY(InputData4[[#This Row],[DATE]])</f>
        <v>27</v>
      </c>
      <c r="O461" s="7">
        <f>MONTH(InputData4[[#This Row],[DATE]])</f>
        <v>9</v>
      </c>
      <c r="P461" s="7">
        <f>YEAR(InputData4[[#This Row],[DATE]])</f>
        <v>2022</v>
      </c>
    </row>
    <row r="462" spans="1:16" x14ac:dyDescent="0.3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  <c r="G462" t="str">
        <f>VLOOKUP(InputData4[[#This Row],[PRODUCT ID]],MasterData[],2,0)</f>
        <v>Product44</v>
      </c>
      <c r="H462" t="str">
        <f>VLOOKUP(InputData4[[#This Row],[PRODUCT ID]],MasterData[],3,0)</f>
        <v>Category05</v>
      </c>
      <c r="I462" t="str">
        <f>VLOOKUP(InputData4[[#This Row],[PRODUCT ID]],MasterData[],4,0)</f>
        <v>Kg</v>
      </c>
      <c r="J462" s="9">
        <f>VLOOKUP(InputData4[[#This Row],[PRODUCT ID]],MasterData[],5,0)</f>
        <v>76</v>
      </c>
      <c r="K462" s="9">
        <f>VLOOKUP(InputData4[[#This Row],[PRODUCT ID]],MasterData[],6,0)</f>
        <v>82.08</v>
      </c>
      <c r="L462" s="9">
        <f>InputData4[[#This Row],[QUANTITY]]*InputData4[[#This Row],[BUYING PRIZE]]</f>
        <v>684</v>
      </c>
      <c r="M462" s="9">
        <f>InputData4[[#This Row],[QUANTITY]]*InputData4[[#This Row],[SELLING PRICE]]*(1-InputData4[[#This Row],[DISCOUNT %]])</f>
        <v>738.72</v>
      </c>
      <c r="N462" s="7">
        <f>DAY(InputData4[[#This Row],[DATE]])</f>
        <v>27</v>
      </c>
      <c r="O462" s="7">
        <f>MONTH(InputData4[[#This Row],[DATE]])</f>
        <v>9</v>
      </c>
      <c r="P462" s="7">
        <f>YEAR(InputData4[[#This Row],[DATE]])</f>
        <v>2022</v>
      </c>
    </row>
    <row r="463" spans="1:16" x14ac:dyDescent="0.3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  <c r="G463" t="str">
        <f>VLOOKUP(InputData4[[#This Row],[PRODUCT ID]],MasterData[],2,0)</f>
        <v>Product38</v>
      </c>
      <c r="H463" t="str">
        <f>VLOOKUP(InputData4[[#This Row],[PRODUCT ID]],MasterData[],3,0)</f>
        <v>Category05</v>
      </c>
      <c r="I463" t="str">
        <f>VLOOKUP(InputData4[[#This Row],[PRODUCT ID]],MasterData[],4,0)</f>
        <v>Kg</v>
      </c>
      <c r="J463" s="9">
        <f>VLOOKUP(InputData4[[#This Row],[PRODUCT ID]],MasterData[],5,0)</f>
        <v>72</v>
      </c>
      <c r="K463" s="9">
        <f>VLOOKUP(InputData4[[#This Row],[PRODUCT ID]],MasterData[],6,0)</f>
        <v>79.92</v>
      </c>
      <c r="L463" s="9">
        <f>InputData4[[#This Row],[QUANTITY]]*InputData4[[#This Row],[BUYING PRIZE]]</f>
        <v>216</v>
      </c>
      <c r="M463" s="9">
        <f>InputData4[[#This Row],[QUANTITY]]*InputData4[[#This Row],[SELLING PRICE]]*(1-InputData4[[#This Row],[DISCOUNT %]])</f>
        <v>239.76</v>
      </c>
      <c r="N463" s="7">
        <f>DAY(InputData4[[#This Row],[DATE]])</f>
        <v>27</v>
      </c>
      <c r="O463" s="7">
        <f>MONTH(InputData4[[#This Row],[DATE]])</f>
        <v>9</v>
      </c>
      <c r="P463" s="7">
        <f>YEAR(InputData4[[#This Row],[DATE]])</f>
        <v>2022</v>
      </c>
    </row>
    <row r="464" spans="1:16" x14ac:dyDescent="0.3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  <c r="G464" t="str">
        <f>VLOOKUP(InputData4[[#This Row],[PRODUCT ID]],MasterData[],2,0)</f>
        <v>Product34</v>
      </c>
      <c r="H464" t="str">
        <f>VLOOKUP(InputData4[[#This Row],[PRODUCT ID]],MasterData[],3,0)</f>
        <v>Category04</v>
      </c>
      <c r="I464" t="str">
        <f>VLOOKUP(InputData4[[#This Row],[PRODUCT ID]],MasterData[],4,0)</f>
        <v>Lt</v>
      </c>
      <c r="J464" s="9">
        <f>VLOOKUP(InputData4[[#This Row],[PRODUCT ID]],MasterData[],5,0)</f>
        <v>55</v>
      </c>
      <c r="K464" s="9">
        <f>VLOOKUP(InputData4[[#This Row],[PRODUCT ID]],MasterData[],6,0)</f>
        <v>58.3</v>
      </c>
      <c r="L464" s="9">
        <f>InputData4[[#This Row],[QUANTITY]]*InputData4[[#This Row],[BUYING PRIZE]]</f>
        <v>715</v>
      </c>
      <c r="M464" s="9">
        <f>InputData4[[#This Row],[QUANTITY]]*InputData4[[#This Row],[SELLING PRICE]]*(1-InputData4[[#This Row],[DISCOUNT %]])</f>
        <v>757.9</v>
      </c>
      <c r="N464" s="7">
        <f>DAY(InputData4[[#This Row],[DATE]])</f>
        <v>29</v>
      </c>
      <c r="O464" s="7">
        <f>MONTH(InputData4[[#This Row],[DATE]])</f>
        <v>9</v>
      </c>
      <c r="P464" s="7">
        <f>YEAR(InputData4[[#This Row],[DATE]])</f>
        <v>2022</v>
      </c>
    </row>
    <row r="465" spans="1:16" x14ac:dyDescent="0.3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  <c r="G465" t="str">
        <f>VLOOKUP(InputData4[[#This Row],[PRODUCT ID]],MasterData[],2,0)</f>
        <v>Product11</v>
      </c>
      <c r="H465" t="str">
        <f>VLOOKUP(InputData4[[#This Row],[PRODUCT ID]],MasterData[],3,0)</f>
        <v>Category02</v>
      </c>
      <c r="I465" t="str">
        <f>VLOOKUP(InputData4[[#This Row],[PRODUCT ID]],MasterData[],4,0)</f>
        <v>Lt</v>
      </c>
      <c r="J465" s="9">
        <f>VLOOKUP(InputData4[[#This Row],[PRODUCT ID]],MasterData[],5,0)</f>
        <v>44</v>
      </c>
      <c r="K465" s="9">
        <f>VLOOKUP(InputData4[[#This Row],[PRODUCT ID]],MasterData[],6,0)</f>
        <v>48.4</v>
      </c>
      <c r="L465" s="9">
        <f>InputData4[[#This Row],[QUANTITY]]*InputData4[[#This Row],[BUYING PRIZE]]</f>
        <v>220</v>
      </c>
      <c r="M465" s="9">
        <f>InputData4[[#This Row],[QUANTITY]]*InputData4[[#This Row],[SELLING PRICE]]*(1-InputData4[[#This Row],[DISCOUNT %]])</f>
        <v>242</v>
      </c>
      <c r="N465" s="7">
        <f>DAY(InputData4[[#This Row],[DATE]])</f>
        <v>3</v>
      </c>
      <c r="O465" s="7">
        <f>MONTH(InputData4[[#This Row],[DATE]])</f>
        <v>10</v>
      </c>
      <c r="P465" s="7">
        <f>YEAR(InputData4[[#This Row],[DATE]])</f>
        <v>2022</v>
      </c>
    </row>
    <row r="466" spans="1:16" x14ac:dyDescent="0.3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  <c r="G466" t="str">
        <f>VLOOKUP(InputData4[[#This Row],[PRODUCT ID]],MasterData[],2,0)</f>
        <v>Product07</v>
      </c>
      <c r="H466" t="str">
        <f>VLOOKUP(InputData4[[#This Row],[PRODUCT ID]],MasterData[],3,0)</f>
        <v>Category01</v>
      </c>
      <c r="I466" t="str">
        <f>VLOOKUP(InputData4[[#This Row],[PRODUCT ID]],MasterData[],4,0)</f>
        <v>Lt</v>
      </c>
      <c r="J466" s="9">
        <f>VLOOKUP(InputData4[[#This Row],[PRODUCT ID]],MasterData[],5,0)</f>
        <v>43</v>
      </c>
      <c r="K466" s="9">
        <f>VLOOKUP(InputData4[[#This Row],[PRODUCT ID]],MasterData[],6,0)</f>
        <v>47.730000000000004</v>
      </c>
      <c r="L466" s="9">
        <f>InputData4[[#This Row],[QUANTITY]]*InputData4[[#This Row],[BUYING PRIZE]]</f>
        <v>645</v>
      </c>
      <c r="M466" s="9">
        <f>InputData4[[#This Row],[QUANTITY]]*InputData4[[#This Row],[SELLING PRICE]]*(1-InputData4[[#This Row],[DISCOUNT %]])</f>
        <v>715.95</v>
      </c>
      <c r="N466" s="7">
        <f>DAY(InputData4[[#This Row],[DATE]])</f>
        <v>4</v>
      </c>
      <c r="O466" s="7">
        <f>MONTH(InputData4[[#This Row],[DATE]])</f>
        <v>10</v>
      </c>
      <c r="P466" s="7">
        <f>YEAR(InputData4[[#This Row],[DATE]])</f>
        <v>2022</v>
      </c>
    </row>
    <row r="467" spans="1:16" x14ac:dyDescent="0.3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  <c r="G467" t="str">
        <f>VLOOKUP(InputData4[[#This Row],[PRODUCT ID]],MasterData[],2,0)</f>
        <v>Product35</v>
      </c>
      <c r="H467" t="str">
        <f>VLOOKUP(InputData4[[#This Row],[PRODUCT ID]],MasterData[],3,0)</f>
        <v>Category04</v>
      </c>
      <c r="I467" t="str">
        <f>VLOOKUP(InputData4[[#This Row],[PRODUCT ID]],MasterData[],4,0)</f>
        <v>No.</v>
      </c>
      <c r="J467" s="9">
        <f>VLOOKUP(InputData4[[#This Row],[PRODUCT ID]],MasterData[],5,0)</f>
        <v>5</v>
      </c>
      <c r="K467" s="9">
        <f>VLOOKUP(InputData4[[#This Row],[PRODUCT ID]],MasterData[],6,0)</f>
        <v>6.7</v>
      </c>
      <c r="L467" s="9">
        <f>InputData4[[#This Row],[QUANTITY]]*InputData4[[#This Row],[BUYING PRIZE]]</f>
        <v>5</v>
      </c>
      <c r="M467" s="9">
        <f>InputData4[[#This Row],[QUANTITY]]*InputData4[[#This Row],[SELLING PRICE]]*(1-InputData4[[#This Row],[DISCOUNT %]])</f>
        <v>6.7</v>
      </c>
      <c r="N467" s="7">
        <f>DAY(InputData4[[#This Row],[DATE]])</f>
        <v>6</v>
      </c>
      <c r="O467" s="7">
        <f>MONTH(InputData4[[#This Row],[DATE]])</f>
        <v>10</v>
      </c>
      <c r="P467" s="7">
        <f>YEAR(InputData4[[#This Row],[DATE]])</f>
        <v>2022</v>
      </c>
    </row>
    <row r="468" spans="1:16" x14ac:dyDescent="0.3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  <c r="G468" t="str">
        <f>VLOOKUP(InputData4[[#This Row],[PRODUCT ID]],MasterData[],2,0)</f>
        <v>Product38</v>
      </c>
      <c r="H468" t="str">
        <f>VLOOKUP(InputData4[[#This Row],[PRODUCT ID]],MasterData[],3,0)</f>
        <v>Category05</v>
      </c>
      <c r="I468" t="str">
        <f>VLOOKUP(InputData4[[#This Row],[PRODUCT ID]],MasterData[],4,0)</f>
        <v>Kg</v>
      </c>
      <c r="J468" s="9">
        <f>VLOOKUP(InputData4[[#This Row],[PRODUCT ID]],MasterData[],5,0)</f>
        <v>72</v>
      </c>
      <c r="K468" s="9">
        <f>VLOOKUP(InputData4[[#This Row],[PRODUCT ID]],MasterData[],6,0)</f>
        <v>79.92</v>
      </c>
      <c r="L468" s="9">
        <f>InputData4[[#This Row],[QUANTITY]]*InputData4[[#This Row],[BUYING PRIZE]]</f>
        <v>1008</v>
      </c>
      <c r="M468" s="9">
        <f>InputData4[[#This Row],[QUANTITY]]*InputData4[[#This Row],[SELLING PRICE]]*(1-InputData4[[#This Row],[DISCOUNT %]])</f>
        <v>1118.8800000000001</v>
      </c>
      <c r="N468" s="7">
        <f>DAY(InputData4[[#This Row],[DATE]])</f>
        <v>9</v>
      </c>
      <c r="O468" s="7">
        <f>MONTH(InputData4[[#This Row],[DATE]])</f>
        <v>10</v>
      </c>
      <c r="P468" s="7">
        <f>YEAR(InputData4[[#This Row],[DATE]])</f>
        <v>2022</v>
      </c>
    </row>
    <row r="469" spans="1:16" x14ac:dyDescent="0.3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  <c r="G469" t="str">
        <f>VLOOKUP(InputData4[[#This Row],[PRODUCT ID]],MasterData[],2,0)</f>
        <v>Product19</v>
      </c>
      <c r="H469" t="str">
        <f>VLOOKUP(InputData4[[#This Row],[PRODUCT ID]],MasterData[],3,0)</f>
        <v>Category02</v>
      </c>
      <c r="I469" t="str">
        <f>VLOOKUP(InputData4[[#This Row],[PRODUCT ID]],MasterData[],4,0)</f>
        <v>Ft</v>
      </c>
      <c r="J469" s="9">
        <f>VLOOKUP(InputData4[[#This Row],[PRODUCT ID]],MasterData[],5,0)</f>
        <v>150</v>
      </c>
      <c r="K469" s="9">
        <f>VLOOKUP(InputData4[[#This Row],[PRODUCT ID]],MasterData[],6,0)</f>
        <v>210</v>
      </c>
      <c r="L469" s="9">
        <f>InputData4[[#This Row],[QUANTITY]]*InputData4[[#This Row],[BUYING PRIZE]]</f>
        <v>1350</v>
      </c>
      <c r="M469" s="9">
        <f>InputData4[[#This Row],[QUANTITY]]*InputData4[[#This Row],[SELLING PRICE]]*(1-InputData4[[#This Row],[DISCOUNT %]])</f>
        <v>1890</v>
      </c>
      <c r="N469" s="7">
        <f>DAY(InputData4[[#This Row],[DATE]])</f>
        <v>10</v>
      </c>
      <c r="O469" s="7">
        <f>MONTH(InputData4[[#This Row],[DATE]])</f>
        <v>10</v>
      </c>
      <c r="P469" s="7">
        <f>YEAR(InputData4[[#This Row],[DATE]])</f>
        <v>2022</v>
      </c>
    </row>
    <row r="470" spans="1:16" x14ac:dyDescent="0.3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  <c r="G470" t="str">
        <f>VLOOKUP(InputData4[[#This Row],[PRODUCT ID]],MasterData[],2,0)</f>
        <v>Product44</v>
      </c>
      <c r="H470" t="str">
        <f>VLOOKUP(InputData4[[#This Row],[PRODUCT ID]],MasterData[],3,0)</f>
        <v>Category05</v>
      </c>
      <c r="I470" t="str">
        <f>VLOOKUP(InputData4[[#This Row],[PRODUCT ID]],MasterData[],4,0)</f>
        <v>Kg</v>
      </c>
      <c r="J470" s="9">
        <f>VLOOKUP(InputData4[[#This Row],[PRODUCT ID]],MasterData[],5,0)</f>
        <v>76</v>
      </c>
      <c r="K470" s="9">
        <f>VLOOKUP(InputData4[[#This Row],[PRODUCT ID]],MasterData[],6,0)</f>
        <v>82.08</v>
      </c>
      <c r="L470" s="9">
        <f>InputData4[[#This Row],[QUANTITY]]*InputData4[[#This Row],[BUYING PRIZE]]</f>
        <v>912</v>
      </c>
      <c r="M470" s="9">
        <f>InputData4[[#This Row],[QUANTITY]]*InputData4[[#This Row],[SELLING PRICE]]*(1-InputData4[[#This Row],[DISCOUNT %]])</f>
        <v>984.96</v>
      </c>
      <c r="N470" s="7">
        <f>DAY(InputData4[[#This Row],[DATE]])</f>
        <v>10</v>
      </c>
      <c r="O470" s="7">
        <f>MONTH(InputData4[[#This Row],[DATE]])</f>
        <v>10</v>
      </c>
      <c r="P470" s="7">
        <f>YEAR(InputData4[[#This Row],[DATE]])</f>
        <v>2022</v>
      </c>
    </row>
    <row r="471" spans="1:16" x14ac:dyDescent="0.3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  <c r="G471" t="str">
        <f>VLOOKUP(InputData4[[#This Row],[PRODUCT ID]],MasterData[],2,0)</f>
        <v>Product08</v>
      </c>
      <c r="H471" t="str">
        <f>VLOOKUP(InputData4[[#This Row],[PRODUCT ID]],MasterData[],3,0)</f>
        <v>Category01</v>
      </c>
      <c r="I471" t="str">
        <f>VLOOKUP(InputData4[[#This Row],[PRODUCT ID]],MasterData[],4,0)</f>
        <v>Kg</v>
      </c>
      <c r="J471" s="9">
        <f>VLOOKUP(InputData4[[#This Row],[PRODUCT ID]],MasterData[],5,0)</f>
        <v>83</v>
      </c>
      <c r="K471" s="9">
        <f>VLOOKUP(InputData4[[#This Row],[PRODUCT ID]],MasterData[],6,0)</f>
        <v>94.62</v>
      </c>
      <c r="L471" s="9">
        <f>InputData4[[#This Row],[QUANTITY]]*InputData4[[#This Row],[BUYING PRIZE]]</f>
        <v>830</v>
      </c>
      <c r="M471" s="9">
        <f>InputData4[[#This Row],[QUANTITY]]*InputData4[[#This Row],[SELLING PRICE]]*(1-InputData4[[#This Row],[DISCOUNT %]])</f>
        <v>946.2</v>
      </c>
      <c r="N471" s="7">
        <f>DAY(InputData4[[#This Row],[DATE]])</f>
        <v>11</v>
      </c>
      <c r="O471" s="7">
        <f>MONTH(InputData4[[#This Row],[DATE]])</f>
        <v>10</v>
      </c>
      <c r="P471" s="7">
        <f>YEAR(InputData4[[#This Row],[DATE]])</f>
        <v>2022</v>
      </c>
    </row>
    <row r="472" spans="1:16" x14ac:dyDescent="0.3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  <c r="G472" t="str">
        <f>VLOOKUP(InputData4[[#This Row],[PRODUCT ID]],MasterData[],2,0)</f>
        <v>Product02</v>
      </c>
      <c r="H472" t="str">
        <f>VLOOKUP(InputData4[[#This Row],[PRODUCT ID]],MasterData[],3,0)</f>
        <v>Category01</v>
      </c>
      <c r="I472" t="str">
        <f>VLOOKUP(InputData4[[#This Row],[PRODUCT ID]],MasterData[],4,0)</f>
        <v>Kg</v>
      </c>
      <c r="J472" s="9">
        <f>VLOOKUP(InputData4[[#This Row],[PRODUCT ID]],MasterData[],5,0)</f>
        <v>105</v>
      </c>
      <c r="K472" s="9">
        <f>VLOOKUP(InputData4[[#This Row],[PRODUCT ID]],MasterData[],6,0)</f>
        <v>142.80000000000001</v>
      </c>
      <c r="L472" s="9">
        <f>InputData4[[#This Row],[QUANTITY]]*InputData4[[#This Row],[BUYING PRIZE]]</f>
        <v>1575</v>
      </c>
      <c r="M472" s="9">
        <f>InputData4[[#This Row],[QUANTITY]]*InputData4[[#This Row],[SELLING PRICE]]*(1-InputData4[[#This Row],[DISCOUNT %]])</f>
        <v>2142</v>
      </c>
      <c r="N472" s="7">
        <f>DAY(InputData4[[#This Row],[DATE]])</f>
        <v>13</v>
      </c>
      <c r="O472" s="7">
        <f>MONTH(InputData4[[#This Row],[DATE]])</f>
        <v>10</v>
      </c>
      <c r="P472" s="7">
        <f>YEAR(InputData4[[#This Row],[DATE]])</f>
        <v>2022</v>
      </c>
    </row>
    <row r="473" spans="1:16" x14ac:dyDescent="0.3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  <c r="G473" t="str">
        <f>VLOOKUP(InputData4[[#This Row],[PRODUCT ID]],MasterData[],2,0)</f>
        <v>Product44</v>
      </c>
      <c r="H473" t="str">
        <f>VLOOKUP(InputData4[[#This Row],[PRODUCT ID]],MasterData[],3,0)</f>
        <v>Category05</v>
      </c>
      <c r="I473" t="str">
        <f>VLOOKUP(InputData4[[#This Row],[PRODUCT ID]],MasterData[],4,0)</f>
        <v>Kg</v>
      </c>
      <c r="J473" s="9">
        <f>VLOOKUP(InputData4[[#This Row],[PRODUCT ID]],MasterData[],5,0)</f>
        <v>76</v>
      </c>
      <c r="K473" s="9">
        <f>VLOOKUP(InputData4[[#This Row],[PRODUCT ID]],MasterData[],6,0)</f>
        <v>82.08</v>
      </c>
      <c r="L473" s="9">
        <f>InputData4[[#This Row],[QUANTITY]]*InputData4[[#This Row],[BUYING PRIZE]]</f>
        <v>1140</v>
      </c>
      <c r="M473" s="9">
        <f>InputData4[[#This Row],[QUANTITY]]*InputData4[[#This Row],[SELLING PRICE]]*(1-InputData4[[#This Row],[DISCOUNT %]])</f>
        <v>1231.2</v>
      </c>
      <c r="N473" s="7">
        <f>DAY(InputData4[[#This Row],[DATE]])</f>
        <v>14</v>
      </c>
      <c r="O473" s="7">
        <f>MONTH(InputData4[[#This Row],[DATE]])</f>
        <v>10</v>
      </c>
      <c r="P473" s="7">
        <f>YEAR(InputData4[[#This Row],[DATE]])</f>
        <v>2022</v>
      </c>
    </row>
    <row r="474" spans="1:16" x14ac:dyDescent="0.3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  <c r="G474" t="str">
        <f>VLOOKUP(InputData4[[#This Row],[PRODUCT ID]],MasterData[],2,0)</f>
        <v>Product15</v>
      </c>
      <c r="H474" t="str">
        <f>VLOOKUP(InputData4[[#This Row],[PRODUCT ID]],MasterData[],3,0)</f>
        <v>Category02</v>
      </c>
      <c r="I474" t="str">
        <f>VLOOKUP(InputData4[[#This Row],[PRODUCT ID]],MasterData[],4,0)</f>
        <v>No.</v>
      </c>
      <c r="J474" s="9">
        <f>VLOOKUP(InputData4[[#This Row],[PRODUCT ID]],MasterData[],5,0)</f>
        <v>12</v>
      </c>
      <c r="K474" s="9">
        <f>VLOOKUP(InputData4[[#This Row],[PRODUCT ID]],MasterData[],6,0)</f>
        <v>15.719999999999999</v>
      </c>
      <c r="L474" s="9">
        <f>InputData4[[#This Row],[QUANTITY]]*InputData4[[#This Row],[BUYING PRIZE]]</f>
        <v>120</v>
      </c>
      <c r="M474" s="9">
        <f>InputData4[[#This Row],[QUANTITY]]*InputData4[[#This Row],[SELLING PRICE]]*(1-InputData4[[#This Row],[DISCOUNT %]])</f>
        <v>157.19999999999999</v>
      </c>
      <c r="N474" s="7">
        <f>DAY(InputData4[[#This Row],[DATE]])</f>
        <v>15</v>
      </c>
      <c r="O474" s="7">
        <f>MONTH(InputData4[[#This Row],[DATE]])</f>
        <v>10</v>
      </c>
      <c r="P474" s="7">
        <f>YEAR(InputData4[[#This Row],[DATE]])</f>
        <v>2022</v>
      </c>
    </row>
    <row r="475" spans="1:16" x14ac:dyDescent="0.3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  <c r="G475" t="str">
        <f>VLOOKUP(InputData4[[#This Row],[PRODUCT ID]],MasterData[],2,0)</f>
        <v>Product36</v>
      </c>
      <c r="H475" t="str">
        <f>VLOOKUP(InputData4[[#This Row],[PRODUCT ID]],MasterData[],3,0)</f>
        <v>Category04</v>
      </c>
      <c r="I475" t="str">
        <f>VLOOKUP(InputData4[[#This Row],[PRODUCT ID]],MasterData[],4,0)</f>
        <v>Kg</v>
      </c>
      <c r="J475" s="9">
        <f>VLOOKUP(InputData4[[#This Row],[PRODUCT ID]],MasterData[],5,0)</f>
        <v>90</v>
      </c>
      <c r="K475" s="9">
        <f>VLOOKUP(InputData4[[#This Row],[PRODUCT ID]],MasterData[],6,0)</f>
        <v>96.3</v>
      </c>
      <c r="L475" s="9">
        <f>InputData4[[#This Row],[QUANTITY]]*InputData4[[#This Row],[BUYING PRIZE]]</f>
        <v>270</v>
      </c>
      <c r="M475" s="9">
        <f>InputData4[[#This Row],[QUANTITY]]*InputData4[[#This Row],[SELLING PRICE]]*(1-InputData4[[#This Row],[DISCOUNT %]])</f>
        <v>288.89999999999998</v>
      </c>
      <c r="N475" s="7">
        <f>DAY(InputData4[[#This Row],[DATE]])</f>
        <v>16</v>
      </c>
      <c r="O475" s="7">
        <f>MONTH(InputData4[[#This Row],[DATE]])</f>
        <v>10</v>
      </c>
      <c r="P475" s="7">
        <f>YEAR(InputData4[[#This Row],[DATE]])</f>
        <v>2022</v>
      </c>
    </row>
    <row r="476" spans="1:16" x14ac:dyDescent="0.3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  <c r="G476" t="str">
        <f>VLOOKUP(InputData4[[#This Row],[PRODUCT ID]],MasterData[],2,0)</f>
        <v>Product24</v>
      </c>
      <c r="H476" t="str">
        <f>VLOOKUP(InputData4[[#This Row],[PRODUCT ID]],MasterData[],3,0)</f>
        <v>Category03</v>
      </c>
      <c r="I476" t="str">
        <f>VLOOKUP(InputData4[[#This Row],[PRODUCT ID]],MasterData[],4,0)</f>
        <v>Ft</v>
      </c>
      <c r="J476" s="9">
        <f>VLOOKUP(InputData4[[#This Row],[PRODUCT ID]],MasterData[],5,0)</f>
        <v>144</v>
      </c>
      <c r="K476" s="9">
        <f>VLOOKUP(InputData4[[#This Row],[PRODUCT ID]],MasterData[],6,0)</f>
        <v>156.96</v>
      </c>
      <c r="L476" s="9">
        <f>InputData4[[#This Row],[QUANTITY]]*InputData4[[#This Row],[BUYING PRIZE]]</f>
        <v>2016</v>
      </c>
      <c r="M476" s="9">
        <f>InputData4[[#This Row],[QUANTITY]]*InputData4[[#This Row],[SELLING PRICE]]*(1-InputData4[[#This Row],[DISCOUNT %]])</f>
        <v>2197.44</v>
      </c>
      <c r="N476" s="7">
        <f>DAY(InputData4[[#This Row],[DATE]])</f>
        <v>23</v>
      </c>
      <c r="O476" s="7">
        <f>MONTH(InputData4[[#This Row],[DATE]])</f>
        <v>10</v>
      </c>
      <c r="P476" s="7">
        <f>YEAR(InputData4[[#This Row],[DATE]])</f>
        <v>2022</v>
      </c>
    </row>
    <row r="477" spans="1:16" x14ac:dyDescent="0.3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  <c r="G477" t="str">
        <f>VLOOKUP(InputData4[[#This Row],[PRODUCT ID]],MasterData[],2,0)</f>
        <v>Product42</v>
      </c>
      <c r="H477" t="str">
        <f>VLOOKUP(InputData4[[#This Row],[PRODUCT ID]],MasterData[],3,0)</f>
        <v>Category05</v>
      </c>
      <c r="I477" t="str">
        <f>VLOOKUP(InputData4[[#This Row],[PRODUCT ID]],MasterData[],4,0)</f>
        <v>Ft</v>
      </c>
      <c r="J477" s="9">
        <f>VLOOKUP(InputData4[[#This Row],[PRODUCT ID]],MasterData[],5,0)</f>
        <v>120</v>
      </c>
      <c r="K477" s="9">
        <f>VLOOKUP(InputData4[[#This Row],[PRODUCT ID]],MasterData[],6,0)</f>
        <v>162</v>
      </c>
      <c r="L477" s="9">
        <f>InputData4[[#This Row],[QUANTITY]]*InputData4[[#This Row],[BUYING PRIZE]]</f>
        <v>360</v>
      </c>
      <c r="M477" s="9">
        <f>InputData4[[#This Row],[QUANTITY]]*InputData4[[#This Row],[SELLING PRICE]]*(1-InputData4[[#This Row],[DISCOUNT %]])</f>
        <v>486</v>
      </c>
      <c r="N477" s="7">
        <f>DAY(InputData4[[#This Row],[DATE]])</f>
        <v>30</v>
      </c>
      <c r="O477" s="7">
        <f>MONTH(InputData4[[#This Row],[DATE]])</f>
        <v>10</v>
      </c>
      <c r="P477" s="7">
        <f>YEAR(InputData4[[#This Row],[DATE]])</f>
        <v>2022</v>
      </c>
    </row>
    <row r="478" spans="1:16" x14ac:dyDescent="0.3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  <c r="G478" t="str">
        <f>VLOOKUP(InputData4[[#This Row],[PRODUCT ID]],MasterData[],2,0)</f>
        <v>Product38</v>
      </c>
      <c r="H478" t="str">
        <f>VLOOKUP(InputData4[[#This Row],[PRODUCT ID]],MasterData[],3,0)</f>
        <v>Category05</v>
      </c>
      <c r="I478" t="str">
        <f>VLOOKUP(InputData4[[#This Row],[PRODUCT ID]],MasterData[],4,0)</f>
        <v>Kg</v>
      </c>
      <c r="J478" s="9">
        <f>VLOOKUP(InputData4[[#This Row],[PRODUCT ID]],MasterData[],5,0)</f>
        <v>72</v>
      </c>
      <c r="K478" s="9">
        <f>VLOOKUP(InputData4[[#This Row],[PRODUCT ID]],MasterData[],6,0)</f>
        <v>79.92</v>
      </c>
      <c r="L478" s="9">
        <f>InputData4[[#This Row],[QUANTITY]]*InputData4[[#This Row],[BUYING PRIZE]]</f>
        <v>576</v>
      </c>
      <c r="M478" s="9">
        <f>InputData4[[#This Row],[QUANTITY]]*InputData4[[#This Row],[SELLING PRICE]]*(1-InputData4[[#This Row],[DISCOUNT %]])</f>
        <v>639.36</v>
      </c>
      <c r="N478" s="7">
        <f>DAY(InputData4[[#This Row],[DATE]])</f>
        <v>31</v>
      </c>
      <c r="O478" s="7">
        <f>MONTH(InputData4[[#This Row],[DATE]])</f>
        <v>10</v>
      </c>
      <c r="P478" s="7">
        <f>YEAR(InputData4[[#This Row],[DATE]])</f>
        <v>2022</v>
      </c>
    </row>
    <row r="479" spans="1:16" x14ac:dyDescent="0.3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  <c r="G479" t="str">
        <f>VLOOKUP(InputData4[[#This Row],[PRODUCT ID]],MasterData[],2,0)</f>
        <v>Product12</v>
      </c>
      <c r="H479" t="str">
        <f>VLOOKUP(InputData4[[#This Row],[PRODUCT ID]],MasterData[],3,0)</f>
        <v>Category02</v>
      </c>
      <c r="I479" t="str">
        <f>VLOOKUP(InputData4[[#This Row],[PRODUCT ID]],MasterData[],4,0)</f>
        <v>Kg</v>
      </c>
      <c r="J479" s="9">
        <f>VLOOKUP(InputData4[[#This Row],[PRODUCT ID]],MasterData[],5,0)</f>
        <v>73</v>
      </c>
      <c r="K479" s="9">
        <f>VLOOKUP(InputData4[[#This Row],[PRODUCT ID]],MasterData[],6,0)</f>
        <v>94.17</v>
      </c>
      <c r="L479" s="9">
        <f>InputData4[[#This Row],[QUANTITY]]*InputData4[[#This Row],[BUYING PRIZE]]</f>
        <v>1095</v>
      </c>
      <c r="M479" s="9">
        <f>InputData4[[#This Row],[QUANTITY]]*InputData4[[#This Row],[SELLING PRICE]]*(1-InputData4[[#This Row],[DISCOUNT %]])</f>
        <v>1412.55</v>
      </c>
      <c r="N479" s="7">
        <f>DAY(InputData4[[#This Row],[DATE]])</f>
        <v>1</v>
      </c>
      <c r="O479" s="7">
        <f>MONTH(InputData4[[#This Row],[DATE]])</f>
        <v>11</v>
      </c>
      <c r="P479" s="7">
        <f>YEAR(InputData4[[#This Row],[DATE]])</f>
        <v>2022</v>
      </c>
    </row>
    <row r="480" spans="1:16" x14ac:dyDescent="0.3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  <c r="G480" t="str">
        <f>VLOOKUP(InputData4[[#This Row],[PRODUCT ID]],MasterData[],2,0)</f>
        <v>Product15</v>
      </c>
      <c r="H480" t="str">
        <f>VLOOKUP(InputData4[[#This Row],[PRODUCT ID]],MasterData[],3,0)</f>
        <v>Category02</v>
      </c>
      <c r="I480" t="str">
        <f>VLOOKUP(InputData4[[#This Row],[PRODUCT ID]],MasterData[],4,0)</f>
        <v>No.</v>
      </c>
      <c r="J480" s="9">
        <f>VLOOKUP(InputData4[[#This Row],[PRODUCT ID]],MasterData[],5,0)</f>
        <v>12</v>
      </c>
      <c r="K480" s="9">
        <f>VLOOKUP(InputData4[[#This Row],[PRODUCT ID]],MasterData[],6,0)</f>
        <v>15.719999999999999</v>
      </c>
      <c r="L480" s="9">
        <f>InputData4[[#This Row],[QUANTITY]]*InputData4[[#This Row],[BUYING PRIZE]]</f>
        <v>180</v>
      </c>
      <c r="M480" s="9">
        <f>InputData4[[#This Row],[QUANTITY]]*InputData4[[#This Row],[SELLING PRICE]]*(1-InputData4[[#This Row],[DISCOUNT %]])</f>
        <v>235.79999999999998</v>
      </c>
      <c r="N480" s="7">
        <f>DAY(InputData4[[#This Row],[DATE]])</f>
        <v>2</v>
      </c>
      <c r="O480" s="7">
        <f>MONTH(InputData4[[#This Row],[DATE]])</f>
        <v>11</v>
      </c>
      <c r="P480" s="7">
        <f>YEAR(InputData4[[#This Row],[DATE]])</f>
        <v>2022</v>
      </c>
    </row>
    <row r="481" spans="1:16" x14ac:dyDescent="0.3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  <c r="G481" t="str">
        <f>VLOOKUP(InputData4[[#This Row],[PRODUCT ID]],MasterData[],2,0)</f>
        <v>Product30</v>
      </c>
      <c r="H481" t="str">
        <f>VLOOKUP(InputData4[[#This Row],[PRODUCT ID]],MasterData[],3,0)</f>
        <v>Category04</v>
      </c>
      <c r="I481" t="str">
        <f>VLOOKUP(InputData4[[#This Row],[PRODUCT ID]],MasterData[],4,0)</f>
        <v>Ft</v>
      </c>
      <c r="J481" s="9">
        <f>VLOOKUP(InputData4[[#This Row],[PRODUCT ID]],MasterData[],5,0)</f>
        <v>148</v>
      </c>
      <c r="K481" s="9">
        <f>VLOOKUP(InputData4[[#This Row],[PRODUCT ID]],MasterData[],6,0)</f>
        <v>201.28</v>
      </c>
      <c r="L481" s="9">
        <f>InputData4[[#This Row],[QUANTITY]]*InputData4[[#This Row],[BUYING PRIZE]]</f>
        <v>2220</v>
      </c>
      <c r="M481" s="9">
        <f>InputData4[[#This Row],[QUANTITY]]*InputData4[[#This Row],[SELLING PRICE]]*(1-InputData4[[#This Row],[DISCOUNT %]])</f>
        <v>3019.2</v>
      </c>
      <c r="N481" s="7">
        <f>DAY(InputData4[[#This Row],[DATE]])</f>
        <v>2</v>
      </c>
      <c r="O481" s="7">
        <f>MONTH(InputData4[[#This Row],[DATE]])</f>
        <v>11</v>
      </c>
      <c r="P481" s="7">
        <f>YEAR(InputData4[[#This Row],[DATE]])</f>
        <v>2022</v>
      </c>
    </row>
    <row r="482" spans="1:16" x14ac:dyDescent="0.3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  <c r="G482" t="str">
        <f>VLOOKUP(InputData4[[#This Row],[PRODUCT ID]],MasterData[],2,0)</f>
        <v>Product35</v>
      </c>
      <c r="H482" t="str">
        <f>VLOOKUP(InputData4[[#This Row],[PRODUCT ID]],MasterData[],3,0)</f>
        <v>Category04</v>
      </c>
      <c r="I482" t="str">
        <f>VLOOKUP(InputData4[[#This Row],[PRODUCT ID]],MasterData[],4,0)</f>
        <v>No.</v>
      </c>
      <c r="J482" s="9">
        <f>VLOOKUP(InputData4[[#This Row],[PRODUCT ID]],MasterData[],5,0)</f>
        <v>5</v>
      </c>
      <c r="K482" s="9">
        <f>VLOOKUP(InputData4[[#This Row],[PRODUCT ID]],MasterData[],6,0)</f>
        <v>6.7</v>
      </c>
      <c r="L482" s="9">
        <f>InputData4[[#This Row],[QUANTITY]]*InputData4[[#This Row],[BUYING PRIZE]]</f>
        <v>25</v>
      </c>
      <c r="M482" s="9">
        <f>InputData4[[#This Row],[QUANTITY]]*InputData4[[#This Row],[SELLING PRICE]]*(1-InputData4[[#This Row],[DISCOUNT %]])</f>
        <v>33.5</v>
      </c>
      <c r="N482" s="7">
        <f>DAY(InputData4[[#This Row],[DATE]])</f>
        <v>2</v>
      </c>
      <c r="O482" s="7">
        <f>MONTH(InputData4[[#This Row],[DATE]])</f>
        <v>11</v>
      </c>
      <c r="P482" s="7">
        <f>YEAR(InputData4[[#This Row],[DATE]])</f>
        <v>2022</v>
      </c>
    </row>
    <row r="483" spans="1:16" x14ac:dyDescent="0.3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  <c r="G483" t="str">
        <f>VLOOKUP(InputData4[[#This Row],[PRODUCT ID]],MasterData[],2,0)</f>
        <v>Product20</v>
      </c>
      <c r="H483" t="str">
        <f>VLOOKUP(InputData4[[#This Row],[PRODUCT ID]],MasterData[],3,0)</f>
        <v>Category03</v>
      </c>
      <c r="I483" t="str">
        <f>VLOOKUP(InputData4[[#This Row],[PRODUCT ID]],MasterData[],4,0)</f>
        <v>Lt</v>
      </c>
      <c r="J483" s="9">
        <f>VLOOKUP(InputData4[[#This Row],[PRODUCT ID]],MasterData[],5,0)</f>
        <v>61</v>
      </c>
      <c r="K483" s="9">
        <f>VLOOKUP(InputData4[[#This Row],[PRODUCT ID]],MasterData[],6,0)</f>
        <v>76.25</v>
      </c>
      <c r="L483" s="9">
        <f>InputData4[[#This Row],[QUANTITY]]*InputData4[[#This Row],[BUYING PRIZE]]</f>
        <v>671</v>
      </c>
      <c r="M483" s="9">
        <f>InputData4[[#This Row],[QUANTITY]]*InputData4[[#This Row],[SELLING PRICE]]*(1-InputData4[[#This Row],[DISCOUNT %]])</f>
        <v>838.75</v>
      </c>
      <c r="N483" s="7">
        <f>DAY(InputData4[[#This Row],[DATE]])</f>
        <v>3</v>
      </c>
      <c r="O483" s="7">
        <f>MONTH(InputData4[[#This Row],[DATE]])</f>
        <v>11</v>
      </c>
      <c r="P483" s="7">
        <f>YEAR(InputData4[[#This Row],[DATE]])</f>
        <v>2022</v>
      </c>
    </row>
    <row r="484" spans="1:16" x14ac:dyDescent="0.3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  <c r="G484" t="str">
        <f>VLOOKUP(InputData4[[#This Row],[PRODUCT ID]],MasterData[],2,0)</f>
        <v>Product08</v>
      </c>
      <c r="H484" t="str">
        <f>VLOOKUP(InputData4[[#This Row],[PRODUCT ID]],MasterData[],3,0)</f>
        <v>Category01</v>
      </c>
      <c r="I484" t="str">
        <f>VLOOKUP(InputData4[[#This Row],[PRODUCT ID]],MasterData[],4,0)</f>
        <v>Kg</v>
      </c>
      <c r="J484" s="9">
        <f>VLOOKUP(InputData4[[#This Row],[PRODUCT ID]],MasterData[],5,0)</f>
        <v>83</v>
      </c>
      <c r="K484" s="9">
        <f>VLOOKUP(InputData4[[#This Row],[PRODUCT ID]],MasterData[],6,0)</f>
        <v>94.62</v>
      </c>
      <c r="L484" s="9">
        <f>InputData4[[#This Row],[QUANTITY]]*InputData4[[#This Row],[BUYING PRIZE]]</f>
        <v>830</v>
      </c>
      <c r="M484" s="9">
        <f>InputData4[[#This Row],[QUANTITY]]*InputData4[[#This Row],[SELLING PRICE]]*(1-InputData4[[#This Row],[DISCOUNT %]])</f>
        <v>946.2</v>
      </c>
      <c r="N484" s="7">
        <f>DAY(InputData4[[#This Row],[DATE]])</f>
        <v>4</v>
      </c>
      <c r="O484" s="7">
        <f>MONTH(InputData4[[#This Row],[DATE]])</f>
        <v>11</v>
      </c>
      <c r="P484" s="7">
        <f>YEAR(InputData4[[#This Row],[DATE]])</f>
        <v>2022</v>
      </c>
    </row>
    <row r="485" spans="1:16" x14ac:dyDescent="0.3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  <c r="G485" t="str">
        <f>VLOOKUP(InputData4[[#This Row],[PRODUCT ID]],MasterData[],2,0)</f>
        <v>Product19</v>
      </c>
      <c r="H485" t="str">
        <f>VLOOKUP(InputData4[[#This Row],[PRODUCT ID]],MasterData[],3,0)</f>
        <v>Category02</v>
      </c>
      <c r="I485" t="str">
        <f>VLOOKUP(InputData4[[#This Row],[PRODUCT ID]],MasterData[],4,0)</f>
        <v>Ft</v>
      </c>
      <c r="J485" s="9">
        <f>VLOOKUP(InputData4[[#This Row],[PRODUCT ID]],MasterData[],5,0)</f>
        <v>150</v>
      </c>
      <c r="K485" s="9">
        <f>VLOOKUP(InputData4[[#This Row],[PRODUCT ID]],MasterData[],6,0)</f>
        <v>210</v>
      </c>
      <c r="L485" s="9">
        <f>InputData4[[#This Row],[QUANTITY]]*InputData4[[#This Row],[BUYING PRIZE]]</f>
        <v>2250</v>
      </c>
      <c r="M485" s="9">
        <f>InputData4[[#This Row],[QUANTITY]]*InputData4[[#This Row],[SELLING PRICE]]*(1-InputData4[[#This Row],[DISCOUNT %]])</f>
        <v>3150</v>
      </c>
      <c r="N485" s="7">
        <f>DAY(InputData4[[#This Row],[DATE]])</f>
        <v>5</v>
      </c>
      <c r="O485" s="7">
        <f>MONTH(InputData4[[#This Row],[DATE]])</f>
        <v>11</v>
      </c>
      <c r="P485" s="7">
        <f>YEAR(InputData4[[#This Row],[DATE]])</f>
        <v>2022</v>
      </c>
    </row>
    <row r="486" spans="1:16" x14ac:dyDescent="0.3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  <c r="G486" t="str">
        <f>VLOOKUP(InputData4[[#This Row],[PRODUCT ID]],MasterData[],2,0)</f>
        <v>Product43</v>
      </c>
      <c r="H486" t="str">
        <f>VLOOKUP(InputData4[[#This Row],[PRODUCT ID]],MasterData[],3,0)</f>
        <v>Category05</v>
      </c>
      <c r="I486" t="str">
        <f>VLOOKUP(InputData4[[#This Row],[PRODUCT ID]],MasterData[],4,0)</f>
        <v>Kg</v>
      </c>
      <c r="J486" s="9">
        <f>VLOOKUP(InputData4[[#This Row],[PRODUCT ID]],MasterData[],5,0)</f>
        <v>67</v>
      </c>
      <c r="K486" s="9">
        <f>VLOOKUP(InputData4[[#This Row],[PRODUCT ID]],MasterData[],6,0)</f>
        <v>83.08</v>
      </c>
      <c r="L486" s="9">
        <f>InputData4[[#This Row],[QUANTITY]]*InputData4[[#This Row],[BUYING PRIZE]]</f>
        <v>871</v>
      </c>
      <c r="M486" s="9">
        <f>InputData4[[#This Row],[QUANTITY]]*InputData4[[#This Row],[SELLING PRICE]]*(1-InputData4[[#This Row],[DISCOUNT %]])</f>
        <v>1080.04</v>
      </c>
      <c r="N486" s="7">
        <f>DAY(InputData4[[#This Row],[DATE]])</f>
        <v>6</v>
      </c>
      <c r="O486" s="7">
        <f>MONTH(InputData4[[#This Row],[DATE]])</f>
        <v>11</v>
      </c>
      <c r="P486" s="7">
        <f>YEAR(InputData4[[#This Row],[DATE]])</f>
        <v>2022</v>
      </c>
    </row>
    <row r="487" spans="1:16" x14ac:dyDescent="0.3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  <c r="G487" t="str">
        <f>VLOOKUP(InputData4[[#This Row],[PRODUCT ID]],MasterData[],2,0)</f>
        <v>Product15</v>
      </c>
      <c r="H487" t="str">
        <f>VLOOKUP(InputData4[[#This Row],[PRODUCT ID]],MasterData[],3,0)</f>
        <v>Category02</v>
      </c>
      <c r="I487" t="str">
        <f>VLOOKUP(InputData4[[#This Row],[PRODUCT ID]],MasterData[],4,0)</f>
        <v>No.</v>
      </c>
      <c r="J487" s="9">
        <f>VLOOKUP(InputData4[[#This Row],[PRODUCT ID]],MasterData[],5,0)</f>
        <v>12</v>
      </c>
      <c r="K487" s="9">
        <f>VLOOKUP(InputData4[[#This Row],[PRODUCT ID]],MasterData[],6,0)</f>
        <v>15.719999999999999</v>
      </c>
      <c r="L487" s="9">
        <f>InputData4[[#This Row],[QUANTITY]]*InputData4[[#This Row],[BUYING PRIZE]]</f>
        <v>156</v>
      </c>
      <c r="M487" s="9">
        <f>InputData4[[#This Row],[QUANTITY]]*InputData4[[#This Row],[SELLING PRICE]]*(1-InputData4[[#This Row],[DISCOUNT %]])</f>
        <v>204.35999999999999</v>
      </c>
      <c r="N487" s="7">
        <f>DAY(InputData4[[#This Row],[DATE]])</f>
        <v>6</v>
      </c>
      <c r="O487" s="7">
        <f>MONTH(InputData4[[#This Row],[DATE]])</f>
        <v>11</v>
      </c>
      <c r="P487" s="7">
        <f>YEAR(InputData4[[#This Row],[DATE]])</f>
        <v>2022</v>
      </c>
    </row>
    <row r="488" spans="1:16" x14ac:dyDescent="0.3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  <c r="G488" t="str">
        <f>VLOOKUP(InputData4[[#This Row],[PRODUCT ID]],MasterData[],2,0)</f>
        <v>Product42</v>
      </c>
      <c r="H488" t="str">
        <f>VLOOKUP(InputData4[[#This Row],[PRODUCT ID]],MasterData[],3,0)</f>
        <v>Category05</v>
      </c>
      <c r="I488" t="str">
        <f>VLOOKUP(InputData4[[#This Row],[PRODUCT ID]],MasterData[],4,0)</f>
        <v>Ft</v>
      </c>
      <c r="J488" s="9">
        <f>VLOOKUP(InputData4[[#This Row],[PRODUCT ID]],MasterData[],5,0)</f>
        <v>120</v>
      </c>
      <c r="K488" s="9">
        <f>VLOOKUP(InputData4[[#This Row],[PRODUCT ID]],MasterData[],6,0)</f>
        <v>162</v>
      </c>
      <c r="L488" s="9">
        <f>InputData4[[#This Row],[QUANTITY]]*InputData4[[#This Row],[BUYING PRIZE]]</f>
        <v>1560</v>
      </c>
      <c r="M488" s="9">
        <f>InputData4[[#This Row],[QUANTITY]]*InputData4[[#This Row],[SELLING PRICE]]*(1-InputData4[[#This Row],[DISCOUNT %]])</f>
        <v>2106</v>
      </c>
      <c r="N488" s="7">
        <f>DAY(InputData4[[#This Row],[DATE]])</f>
        <v>6</v>
      </c>
      <c r="O488" s="7">
        <f>MONTH(InputData4[[#This Row],[DATE]])</f>
        <v>11</v>
      </c>
      <c r="P488" s="7">
        <f>YEAR(InputData4[[#This Row],[DATE]])</f>
        <v>2022</v>
      </c>
    </row>
    <row r="489" spans="1:16" x14ac:dyDescent="0.3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  <c r="G489" t="str">
        <f>VLOOKUP(InputData4[[#This Row],[PRODUCT ID]],MasterData[],2,0)</f>
        <v>Product40</v>
      </c>
      <c r="H489" t="str">
        <f>VLOOKUP(InputData4[[#This Row],[PRODUCT ID]],MasterData[],3,0)</f>
        <v>Category05</v>
      </c>
      <c r="I489" t="str">
        <f>VLOOKUP(InputData4[[#This Row],[PRODUCT ID]],MasterData[],4,0)</f>
        <v>Kg</v>
      </c>
      <c r="J489" s="9">
        <f>VLOOKUP(InputData4[[#This Row],[PRODUCT ID]],MasterData[],5,0)</f>
        <v>90</v>
      </c>
      <c r="K489" s="9">
        <f>VLOOKUP(InputData4[[#This Row],[PRODUCT ID]],MasterData[],6,0)</f>
        <v>115.2</v>
      </c>
      <c r="L489" s="9">
        <f>InputData4[[#This Row],[QUANTITY]]*InputData4[[#This Row],[BUYING PRIZE]]</f>
        <v>1170</v>
      </c>
      <c r="M489" s="9">
        <f>InputData4[[#This Row],[QUANTITY]]*InputData4[[#This Row],[SELLING PRICE]]*(1-InputData4[[#This Row],[DISCOUNT %]])</f>
        <v>1497.6000000000001</v>
      </c>
      <c r="N489" s="7">
        <f>DAY(InputData4[[#This Row],[DATE]])</f>
        <v>7</v>
      </c>
      <c r="O489" s="7">
        <f>MONTH(InputData4[[#This Row],[DATE]])</f>
        <v>11</v>
      </c>
      <c r="P489" s="7">
        <f>YEAR(InputData4[[#This Row],[DATE]])</f>
        <v>2022</v>
      </c>
    </row>
    <row r="490" spans="1:16" x14ac:dyDescent="0.3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  <c r="G490" t="str">
        <f>VLOOKUP(InputData4[[#This Row],[PRODUCT ID]],MasterData[],2,0)</f>
        <v>Product36</v>
      </c>
      <c r="H490" t="str">
        <f>VLOOKUP(InputData4[[#This Row],[PRODUCT ID]],MasterData[],3,0)</f>
        <v>Category04</v>
      </c>
      <c r="I490" t="str">
        <f>VLOOKUP(InputData4[[#This Row],[PRODUCT ID]],MasterData[],4,0)</f>
        <v>Kg</v>
      </c>
      <c r="J490" s="9">
        <f>VLOOKUP(InputData4[[#This Row],[PRODUCT ID]],MasterData[],5,0)</f>
        <v>90</v>
      </c>
      <c r="K490" s="9">
        <f>VLOOKUP(InputData4[[#This Row],[PRODUCT ID]],MasterData[],6,0)</f>
        <v>96.3</v>
      </c>
      <c r="L490" s="9">
        <f>InputData4[[#This Row],[QUANTITY]]*InputData4[[#This Row],[BUYING PRIZE]]</f>
        <v>990</v>
      </c>
      <c r="M490" s="9">
        <f>InputData4[[#This Row],[QUANTITY]]*InputData4[[#This Row],[SELLING PRICE]]*(1-InputData4[[#This Row],[DISCOUNT %]])</f>
        <v>1059.3</v>
      </c>
      <c r="N490" s="7">
        <f>DAY(InputData4[[#This Row],[DATE]])</f>
        <v>8</v>
      </c>
      <c r="O490" s="7">
        <f>MONTH(InputData4[[#This Row],[DATE]])</f>
        <v>11</v>
      </c>
      <c r="P490" s="7">
        <f>YEAR(InputData4[[#This Row],[DATE]])</f>
        <v>2022</v>
      </c>
    </row>
    <row r="491" spans="1:16" x14ac:dyDescent="0.3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  <c r="G491" t="str">
        <f>VLOOKUP(InputData4[[#This Row],[PRODUCT ID]],MasterData[],2,0)</f>
        <v>Product19</v>
      </c>
      <c r="H491" t="str">
        <f>VLOOKUP(InputData4[[#This Row],[PRODUCT ID]],MasterData[],3,0)</f>
        <v>Category02</v>
      </c>
      <c r="I491" t="str">
        <f>VLOOKUP(InputData4[[#This Row],[PRODUCT ID]],MasterData[],4,0)</f>
        <v>Ft</v>
      </c>
      <c r="J491" s="9">
        <f>VLOOKUP(InputData4[[#This Row],[PRODUCT ID]],MasterData[],5,0)</f>
        <v>150</v>
      </c>
      <c r="K491" s="9">
        <f>VLOOKUP(InputData4[[#This Row],[PRODUCT ID]],MasterData[],6,0)</f>
        <v>210</v>
      </c>
      <c r="L491" s="9">
        <f>InputData4[[#This Row],[QUANTITY]]*InputData4[[#This Row],[BUYING PRIZE]]</f>
        <v>1500</v>
      </c>
      <c r="M491" s="9">
        <f>InputData4[[#This Row],[QUANTITY]]*InputData4[[#This Row],[SELLING PRICE]]*(1-InputData4[[#This Row],[DISCOUNT %]])</f>
        <v>2100</v>
      </c>
      <c r="N491" s="7">
        <f>DAY(InputData4[[#This Row],[DATE]])</f>
        <v>8</v>
      </c>
      <c r="O491" s="7">
        <f>MONTH(InputData4[[#This Row],[DATE]])</f>
        <v>11</v>
      </c>
      <c r="P491" s="7">
        <f>YEAR(InputData4[[#This Row],[DATE]])</f>
        <v>2022</v>
      </c>
    </row>
    <row r="492" spans="1:16" x14ac:dyDescent="0.3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  <c r="G492" t="str">
        <f>VLOOKUP(InputData4[[#This Row],[PRODUCT ID]],MasterData[],2,0)</f>
        <v>Product27</v>
      </c>
      <c r="H492" t="str">
        <f>VLOOKUP(InputData4[[#This Row],[PRODUCT ID]],MasterData[],3,0)</f>
        <v>Category04</v>
      </c>
      <c r="I492" t="str">
        <f>VLOOKUP(InputData4[[#This Row],[PRODUCT ID]],MasterData[],4,0)</f>
        <v>Lt</v>
      </c>
      <c r="J492" s="9">
        <f>VLOOKUP(InputData4[[#This Row],[PRODUCT ID]],MasterData[],5,0)</f>
        <v>48</v>
      </c>
      <c r="K492" s="9">
        <f>VLOOKUP(InputData4[[#This Row],[PRODUCT ID]],MasterData[],6,0)</f>
        <v>57.120000000000005</v>
      </c>
      <c r="L492" s="9">
        <f>InputData4[[#This Row],[QUANTITY]]*InputData4[[#This Row],[BUYING PRIZE]]</f>
        <v>384</v>
      </c>
      <c r="M492" s="9">
        <f>InputData4[[#This Row],[QUANTITY]]*InputData4[[#This Row],[SELLING PRICE]]*(1-InputData4[[#This Row],[DISCOUNT %]])</f>
        <v>456.96000000000004</v>
      </c>
      <c r="N492" s="7">
        <f>DAY(InputData4[[#This Row],[DATE]])</f>
        <v>9</v>
      </c>
      <c r="O492" s="7">
        <f>MONTH(InputData4[[#This Row],[DATE]])</f>
        <v>11</v>
      </c>
      <c r="P492" s="7">
        <f>YEAR(InputData4[[#This Row],[DATE]])</f>
        <v>2022</v>
      </c>
    </row>
    <row r="493" spans="1:16" x14ac:dyDescent="0.3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  <c r="G493" t="str">
        <f>VLOOKUP(InputData4[[#This Row],[PRODUCT ID]],MasterData[],2,0)</f>
        <v>Product18</v>
      </c>
      <c r="H493" t="str">
        <f>VLOOKUP(InputData4[[#This Row],[PRODUCT ID]],MasterData[],3,0)</f>
        <v>Category02</v>
      </c>
      <c r="I493" t="str">
        <f>VLOOKUP(InputData4[[#This Row],[PRODUCT ID]],MasterData[],4,0)</f>
        <v>No.</v>
      </c>
      <c r="J493" s="9">
        <f>VLOOKUP(InputData4[[#This Row],[PRODUCT ID]],MasterData[],5,0)</f>
        <v>37</v>
      </c>
      <c r="K493" s="9">
        <f>VLOOKUP(InputData4[[#This Row],[PRODUCT ID]],MasterData[],6,0)</f>
        <v>49.21</v>
      </c>
      <c r="L493" s="9">
        <f>InputData4[[#This Row],[QUANTITY]]*InputData4[[#This Row],[BUYING PRIZE]]</f>
        <v>259</v>
      </c>
      <c r="M493" s="9">
        <f>InputData4[[#This Row],[QUANTITY]]*InputData4[[#This Row],[SELLING PRICE]]*(1-InputData4[[#This Row],[DISCOUNT %]])</f>
        <v>344.47</v>
      </c>
      <c r="N493" s="7">
        <f>DAY(InputData4[[#This Row],[DATE]])</f>
        <v>10</v>
      </c>
      <c r="O493" s="7">
        <f>MONTH(InputData4[[#This Row],[DATE]])</f>
        <v>11</v>
      </c>
      <c r="P493" s="7">
        <f>YEAR(InputData4[[#This Row],[DATE]])</f>
        <v>2022</v>
      </c>
    </row>
    <row r="494" spans="1:16" x14ac:dyDescent="0.3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  <c r="G494" t="str">
        <f>VLOOKUP(InputData4[[#This Row],[PRODUCT ID]],MasterData[],2,0)</f>
        <v>Product27</v>
      </c>
      <c r="H494" t="str">
        <f>VLOOKUP(InputData4[[#This Row],[PRODUCT ID]],MasterData[],3,0)</f>
        <v>Category04</v>
      </c>
      <c r="I494" t="str">
        <f>VLOOKUP(InputData4[[#This Row],[PRODUCT ID]],MasterData[],4,0)</f>
        <v>Lt</v>
      </c>
      <c r="J494" s="9">
        <f>VLOOKUP(InputData4[[#This Row],[PRODUCT ID]],MasterData[],5,0)</f>
        <v>48</v>
      </c>
      <c r="K494" s="9">
        <f>VLOOKUP(InputData4[[#This Row],[PRODUCT ID]],MasterData[],6,0)</f>
        <v>57.120000000000005</v>
      </c>
      <c r="L494" s="9">
        <f>InputData4[[#This Row],[QUANTITY]]*InputData4[[#This Row],[BUYING PRIZE]]</f>
        <v>480</v>
      </c>
      <c r="M494" s="9">
        <f>InputData4[[#This Row],[QUANTITY]]*InputData4[[#This Row],[SELLING PRICE]]*(1-InputData4[[#This Row],[DISCOUNT %]])</f>
        <v>571.20000000000005</v>
      </c>
      <c r="N494" s="7">
        <f>DAY(InputData4[[#This Row],[DATE]])</f>
        <v>13</v>
      </c>
      <c r="O494" s="7">
        <f>MONTH(InputData4[[#This Row],[DATE]])</f>
        <v>11</v>
      </c>
      <c r="P494" s="7">
        <f>YEAR(InputData4[[#This Row],[DATE]])</f>
        <v>2022</v>
      </c>
    </row>
    <row r="495" spans="1:16" x14ac:dyDescent="0.3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  <c r="G495" t="str">
        <f>VLOOKUP(InputData4[[#This Row],[PRODUCT ID]],MasterData[],2,0)</f>
        <v>Product02</v>
      </c>
      <c r="H495" t="str">
        <f>VLOOKUP(InputData4[[#This Row],[PRODUCT ID]],MasterData[],3,0)</f>
        <v>Category01</v>
      </c>
      <c r="I495" t="str">
        <f>VLOOKUP(InputData4[[#This Row],[PRODUCT ID]],MasterData[],4,0)</f>
        <v>Kg</v>
      </c>
      <c r="J495" s="9">
        <f>VLOOKUP(InputData4[[#This Row],[PRODUCT ID]],MasterData[],5,0)</f>
        <v>105</v>
      </c>
      <c r="K495" s="9">
        <f>VLOOKUP(InputData4[[#This Row],[PRODUCT ID]],MasterData[],6,0)</f>
        <v>142.80000000000001</v>
      </c>
      <c r="L495" s="9">
        <f>InputData4[[#This Row],[QUANTITY]]*InputData4[[#This Row],[BUYING PRIZE]]</f>
        <v>105</v>
      </c>
      <c r="M495" s="9">
        <f>InputData4[[#This Row],[QUANTITY]]*InputData4[[#This Row],[SELLING PRICE]]*(1-InputData4[[#This Row],[DISCOUNT %]])</f>
        <v>142.80000000000001</v>
      </c>
      <c r="N495" s="7">
        <f>DAY(InputData4[[#This Row],[DATE]])</f>
        <v>14</v>
      </c>
      <c r="O495" s="7">
        <f>MONTH(InputData4[[#This Row],[DATE]])</f>
        <v>11</v>
      </c>
      <c r="P495" s="7">
        <f>YEAR(InputData4[[#This Row],[DATE]])</f>
        <v>2022</v>
      </c>
    </row>
    <row r="496" spans="1:16" x14ac:dyDescent="0.3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  <c r="G496" t="str">
        <f>VLOOKUP(InputData4[[#This Row],[PRODUCT ID]],MasterData[],2,0)</f>
        <v>Product12</v>
      </c>
      <c r="H496" t="str">
        <f>VLOOKUP(InputData4[[#This Row],[PRODUCT ID]],MasterData[],3,0)</f>
        <v>Category02</v>
      </c>
      <c r="I496" t="str">
        <f>VLOOKUP(InputData4[[#This Row],[PRODUCT ID]],MasterData[],4,0)</f>
        <v>Kg</v>
      </c>
      <c r="J496" s="9">
        <f>VLOOKUP(InputData4[[#This Row],[PRODUCT ID]],MasterData[],5,0)</f>
        <v>73</v>
      </c>
      <c r="K496" s="9">
        <f>VLOOKUP(InputData4[[#This Row],[PRODUCT ID]],MasterData[],6,0)</f>
        <v>94.17</v>
      </c>
      <c r="L496" s="9">
        <f>InputData4[[#This Row],[QUANTITY]]*InputData4[[#This Row],[BUYING PRIZE]]</f>
        <v>1022</v>
      </c>
      <c r="M496" s="9">
        <f>InputData4[[#This Row],[QUANTITY]]*InputData4[[#This Row],[SELLING PRICE]]*(1-InputData4[[#This Row],[DISCOUNT %]])</f>
        <v>1318.38</v>
      </c>
      <c r="N496" s="7">
        <f>DAY(InputData4[[#This Row],[DATE]])</f>
        <v>15</v>
      </c>
      <c r="O496" s="7">
        <f>MONTH(InputData4[[#This Row],[DATE]])</f>
        <v>11</v>
      </c>
      <c r="P496" s="7">
        <f>YEAR(InputData4[[#This Row],[DATE]])</f>
        <v>2022</v>
      </c>
    </row>
    <row r="497" spans="1:16" x14ac:dyDescent="0.3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  <c r="G497" t="str">
        <f>VLOOKUP(InputData4[[#This Row],[PRODUCT ID]],MasterData[],2,0)</f>
        <v>Product17</v>
      </c>
      <c r="H497" t="str">
        <f>VLOOKUP(InputData4[[#This Row],[PRODUCT ID]],MasterData[],3,0)</f>
        <v>Category02</v>
      </c>
      <c r="I497" t="str">
        <f>VLOOKUP(InputData4[[#This Row],[PRODUCT ID]],MasterData[],4,0)</f>
        <v>Ft</v>
      </c>
      <c r="J497" s="9">
        <f>VLOOKUP(InputData4[[#This Row],[PRODUCT ID]],MasterData[],5,0)</f>
        <v>134</v>
      </c>
      <c r="K497" s="9">
        <f>VLOOKUP(InputData4[[#This Row],[PRODUCT ID]],MasterData[],6,0)</f>
        <v>156.78</v>
      </c>
      <c r="L497" s="9">
        <f>InputData4[[#This Row],[QUANTITY]]*InputData4[[#This Row],[BUYING PRIZE]]</f>
        <v>1072</v>
      </c>
      <c r="M497" s="9">
        <f>InputData4[[#This Row],[QUANTITY]]*InputData4[[#This Row],[SELLING PRICE]]*(1-InputData4[[#This Row],[DISCOUNT %]])</f>
        <v>1254.24</v>
      </c>
      <c r="N497" s="7">
        <f>DAY(InputData4[[#This Row],[DATE]])</f>
        <v>16</v>
      </c>
      <c r="O497" s="7">
        <f>MONTH(InputData4[[#This Row],[DATE]])</f>
        <v>11</v>
      </c>
      <c r="P497" s="7">
        <f>YEAR(InputData4[[#This Row],[DATE]])</f>
        <v>2022</v>
      </c>
    </row>
    <row r="498" spans="1:16" x14ac:dyDescent="0.3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  <c r="G498" t="str">
        <f>VLOOKUP(InputData4[[#This Row],[PRODUCT ID]],MasterData[],2,0)</f>
        <v>Product34</v>
      </c>
      <c r="H498" t="str">
        <f>VLOOKUP(InputData4[[#This Row],[PRODUCT ID]],MasterData[],3,0)</f>
        <v>Category04</v>
      </c>
      <c r="I498" t="str">
        <f>VLOOKUP(InputData4[[#This Row],[PRODUCT ID]],MasterData[],4,0)</f>
        <v>Lt</v>
      </c>
      <c r="J498" s="9">
        <f>VLOOKUP(InputData4[[#This Row],[PRODUCT ID]],MasterData[],5,0)</f>
        <v>55</v>
      </c>
      <c r="K498" s="9">
        <f>VLOOKUP(InputData4[[#This Row],[PRODUCT ID]],MasterData[],6,0)</f>
        <v>58.3</v>
      </c>
      <c r="L498" s="9">
        <f>InputData4[[#This Row],[QUANTITY]]*InputData4[[#This Row],[BUYING PRIZE]]</f>
        <v>440</v>
      </c>
      <c r="M498" s="9">
        <f>InputData4[[#This Row],[QUANTITY]]*InputData4[[#This Row],[SELLING PRICE]]*(1-InputData4[[#This Row],[DISCOUNT %]])</f>
        <v>466.4</v>
      </c>
      <c r="N498" s="7">
        <f>DAY(InputData4[[#This Row],[DATE]])</f>
        <v>18</v>
      </c>
      <c r="O498" s="7">
        <f>MONTH(InputData4[[#This Row],[DATE]])</f>
        <v>11</v>
      </c>
      <c r="P498" s="7">
        <f>YEAR(InputData4[[#This Row],[DATE]])</f>
        <v>2022</v>
      </c>
    </row>
    <row r="499" spans="1:16" x14ac:dyDescent="0.3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  <c r="G499" t="str">
        <f>VLOOKUP(InputData4[[#This Row],[PRODUCT ID]],MasterData[],2,0)</f>
        <v>Product20</v>
      </c>
      <c r="H499" t="str">
        <f>VLOOKUP(InputData4[[#This Row],[PRODUCT ID]],MasterData[],3,0)</f>
        <v>Category03</v>
      </c>
      <c r="I499" t="str">
        <f>VLOOKUP(InputData4[[#This Row],[PRODUCT ID]],MasterData[],4,0)</f>
        <v>Lt</v>
      </c>
      <c r="J499" s="9">
        <f>VLOOKUP(InputData4[[#This Row],[PRODUCT ID]],MasterData[],5,0)</f>
        <v>61</v>
      </c>
      <c r="K499" s="9">
        <f>VLOOKUP(InputData4[[#This Row],[PRODUCT ID]],MasterData[],6,0)</f>
        <v>76.25</v>
      </c>
      <c r="L499" s="9">
        <f>InputData4[[#This Row],[QUANTITY]]*InputData4[[#This Row],[BUYING PRIZE]]</f>
        <v>366</v>
      </c>
      <c r="M499" s="9">
        <f>InputData4[[#This Row],[QUANTITY]]*InputData4[[#This Row],[SELLING PRICE]]*(1-InputData4[[#This Row],[DISCOUNT %]])</f>
        <v>457.5</v>
      </c>
      <c r="N499" s="7">
        <f>DAY(InputData4[[#This Row],[DATE]])</f>
        <v>21</v>
      </c>
      <c r="O499" s="7">
        <f>MONTH(InputData4[[#This Row],[DATE]])</f>
        <v>11</v>
      </c>
      <c r="P499" s="7">
        <f>YEAR(InputData4[[#This Row],[DATE]])</f>
        <v>2022</v>
      </c>
    </row>
    <row r="500" spans="1:16" x14ac:dyDescent="0.3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  <c r="G500" t="str">
        <f>VLOOKUP(InputData4[[#This Row],[PRODUCT ID]],MasterData[],2,0)</f>
        <v>Product36</v>
      </c>
      <c r="H500" t="str">
        <f>VLOOKUP(InputData4[[#This Row],[PRODUCT ID]],MasterData[],3,0)</f>
        <v>Category04</v>
      </c>
      <c r="I500" t="str">
        <f>VLOOKUP(InputData4[[#This Row],[PRODUCT ID]],MasterData[],4,0)</f>
        <v>Kg</v>
      </c>
      <c r="J500" s="9">
        <f>VLOOKUP(InputData4[[#This Row],[PRODUCT ID]],MasterData[],5,0)</f>
        <v>90</v>
      </c>
      <c r="K500" s="9">
        <f>VLOOKUP(InputData4[[#This Row],[PRODUCT ID]],MasterData[],6,0)</f>
        <v>96.3</v>
      </c>
      <c r="L500" s="9">
        <f>InputData4[[#This Row],[QUANTITY]]*InputData4[[#This Row],[BUYING PRIZE]]</f>
        <v>1080</v>
      </c>
      <c r="M500" s="9">
        <f>InputData4[[#This Row],[QUANTITY]]*InputData4[[#This Row],[SELLING PRICE]]*(1-InputData4[[#This Row],[DISCOUNT %]])</f>
        <v>1155.5999999999999</v>
      </c>
      <c r="N500" s="7">
        <f>DAY(InputData4[[#This Row],[DATE]])</f>
        <v>23</v>
      </c>
      <c r="O500" s="7">
        <f>MONTH(InputData4[[#This Row],[DATE]])</f>
        <v>11</v>
      </c>
      <c r="P500" s="7">
        <f>YEAR(InputData4[[#This Row],[DATE]])</f>
        <v>2022</v>
      </c>
    </row>
    <row r="501" spans="1:16" x14ac:dyDescent="0.3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  <c r="G501" t="str">
        <f>VLOOKUP(InputData4[[#This Row],[PRODUCT ID]],MasterData[],2,0)</f>
        <v>Product04</v>
      </c>
      <c r="H501" t="str">
        <f>VLOOKUP(InputData4[[#This Row],[PRODUCT ID]],MasterData[],3,0)</f>
        <v>Category01</v>
      </c>
      <c r="I501" t="str">
        <f>VLOOKUP(InputData4[[#This Row],[PRODUCT ID]],MasterData[],4,0)</f>
        <v>Lt</v>
      </c>
      <c r="J501" s="9">
        <f>VLOOKUP(InputData4[[#This Row],[PRODUCT ID]],MasterData[],5,0)</f>
        <v>44</v>
      </c>
      <c r="K501" s="9">
        <f>VLOOKUP(InputData4[[#This Row],[PRODUCT ID]],MasterData[],6,0)</f>
        <v>48.84</v>
      </c>
      <c r="L501" s="9">
        <f>InputData4[[#This Row],[QUANTITY]]*InputData4[[#This Row],[BUYING PRIZE]]</f>
        <v>220</v>
      </c>
      <c r="M501" s="9">
        <f>InputData4[[#This Row],[QUANTITY]]*InputData4[[#This Row],[SELLING PRICE]]*(1-InputData4[[#This Row],[DISCOUNT %]])</f>
        <v>244.20000000000002</v>
      </c>
      <c r="N501" s="7">
        <f>DAY(InputData4[[#This Row],[DATE]])</f>
        <v>25</v>
      </c>
      <c r="O501" s="7">
        <f>MONTH(InputData4[[#This Row],[DATE]])</f>
        <v>11</v>
      </c>
      <c r="P501" s="7">
        <f>YEAR(InputData4[[#This Row],[DATE]])</f>
        <v>2022</v>
      </c>
    </row>
    <row r="502" spans="1:16" x14ac:dyDescent="0.3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  <c r="G502" t="str">
        <f>VLOOKUP(InputData4[[#This Row],[PRODUCT ID]],MasterData[],2,0)</f>
        <v>Product32</v>
      </c>
      <c r="H502" t="str">
        <f>VLOOKUP(InputData4[[#This Row],[PRODUCT ID]],MasterData[],3,0)</f>
        <v>Category04</v>
      </c>
      <c r="I502" t="str">
        <f>VLOOKUP(InputData4[[#This Row],[PRODUCT ID]],MasterData[],4,0)</f>
        <v>Kg</v>
      </c>
      <c r="J502" s="9">
        <f>VLOOKUP(InputData4[[#This Row],[PRODUCT ID]],MasterData[],5,0)</f>
        <v>89</v>
      </c>
      <c r="K502" s="9">
        <f>VLOOKUP(InputData4[[#This Row],[PRODUCT ID]],MasterData[],6,0)</f>
        <v>117.48</v>
      </c>
      <c r="L502" s="9">
        <f>InputData4[[#This Row],[QUANTITY]]*InputData4[[#This Row],[BUYING PRIZE]]</f>
        <v>445</v>
      </c>
      <c r="M502" s="9">
        <f>InputData4[[#This Row],[QUANTITY]]*InputData4[[#This Row],[SELLING PRICE]]*(1-InputData4[[#This Row],[DISCOUNT %]])</f>
        <v>587.4</v>
      </c>
      <c r="N502" s="7">
        <f>DAY(InputData4[[#This Row],[DATE]])</f>
        <v>26</v>
      </c>
      <c r="O502" s="7">
        <f>MONTH(InputData4[[#This Row],[DATE]])</f>
        <v>11</v>
      </c>
      <c r="P502" s="7">
        <f>YEAR(InputData4[[#This Row],[DATE]])</f>
        <v>2022</v>
      </c>
    </row>
    <row r="503" spans="1:16" x14ac:dyDescent="0.3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  <c r="G503" t="str">
        <f>VLOOKUP(InputData4[[#This Row],[PRODUCT ID]],MasterData[],2,0)</f>
        <v>Product34</v>
      </c>
      <c r="H503" t="str">
        <f>VLOOKUP(InputData4[[#This Row],[PRODUCT ID]],MasterData[],3,0)</f>
        <v>Category04</v>
      </c>
      <c r="I503" t="str">
        <f>VLOOKUP(InputData4[[#This Row],[PRODUCT ID]],MasterData[],4,0)</f>
        <v>Lt</v>
      </c>
      <c r="J503" s="9">
        <f>VLOOKUP(InputData4[[#This Row],[PRODUCT ID]],MasterData[],5,0)</f>
        <v>55</v>
      </c>
      <c r="K503" s="9">
        <f>VLOOKUP(InputData4[[#This Row],[PRODUCT ID]],MasterData[],6,0)</f>
        <v>58.3</v>
      </c>
      <c r="L503" s="9">
        <f>InputData4[[#This Row],[QUANTITY]]*InputData4[[#This Row],[BUYING PRIZE]]</f>
        <v>825</v>
      </c>
      <c r="M503" s="9">
        <f>InputData4[[#This Row],[QUANTITY]]*InputData4[[#This Row],[SELLING PRICE]]*(1-InputData4[[#This Row],[DISCOUNT %]])</f>
        <v>874.5</v>
      </c>
      <c r="N503" s="7">
        <f>DAY(InputData4[[#This Row],[DATE]])</f>
        <v>27</v>
      </c>
      <c r="O503" s="7">
        <f>MONTH(InputData4[[#This Row],[DATE]])</f>
        <v>11</v>
      </c>
      <c r="P503" s="7">
        <f>YEAR(InputData4[[#This Row],[DATE]])</f>
        <v>2022</v>
      </c>
    </row>
    <row r="504" spans="1:16" x14ac:dyDescent="0.3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  <c r="G504" t="str">
        <f>VLOOKUP(InputData4[[#This Row],[PRODUCT ID]],MasterData[],2,0)</f>
        <v>Product31</v>
      </c>
      <c r="H504" t="str">
        <f>VLOOKUP(InputData4[[#This Row],[PRODUCT ID]],MasterData[],3,0)</f>
        <v>Category04</v>
      </c>
      <c r="I504" t="str">
        <f>VLOOKUP(InputData4[[#This Row],[PRODUCT ID]],MasterData[],4,0)</f>
        <v>Kg</v>
      </c>
      <c r="J504" s="9">
        <f>VLOOKUP(InputData4[[#This Row],[PRODUCT ID]],MasterData[],5,0)</f>
        <v>93</v>
      </c>
      <c r="K504" s="9">
        <f>VLOOKUP(InputData4[[#This Row],[PRODUCT ID]],MasterData[],6,0)</f>
        <v>104.16</v>
      </c>
      <c r="L504" s="9">
        <f>InputData4[[#This Row],[QUANTITY]]*InputData4[[#This Row],[BUYING PRIZE]]</f>
        <v>744</v>
      </c>
      <c r="M504" s="9">
        <f>InputData4[[#This Row],[QUANTITY]]*InputData4[[#This Row],[SELLING PRICE]]*(1-InputData4[[#This Row],[DISCOUNT %]])</f>
        <v>833.28</v>
      </c>
      <c r="N504" s="7">
        <f>DAY(InputData4[[#This Row],[DATE]])</f>
        <v>28</v>
      </c>
      <c r="O504" s="7">
        <f>MONTH(InputData4[[#This Row],[DATE]])</f>
        <v>11</v>
      </c>
      <c r="P504" s="7">
        <f>YEAR(InputData4[[#This Row],[DATE]])</f>
        <v>2022</v>
      </c>
    </row>
    <row r="505" spans="1:16" x14ac:dyDescent="0.3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  <c r="G505" t="str">
        <f>VLOOKUP(InputData4[[#This Row],[PRODUCT ID]],MasterData[],2,0)</f>
        <v>Product15</v>
      </c>
      <c r="H505" t="str">
        <f>VLOOKUP(InputData4[[#This Row],[PRODUCT ID]],MasterData[],3,0)</f>
        <v>Category02</v>
      </c>
      <c r="I505" t="str">
        <f>VLOOKUP(InputData4[[#This Row],[PRODUCT ID]],MasterData[],4,0)</f>
        <v>No.</v>
      </c>
      <c r="J505" s="9">
        <f>VLOOKUP(InputData4[[#This Row],[PRODUCT ID]],MasterData[],5,0)</f>
        <v>12</v>
      </c>
      <c r="K505" s="9">
        <f>VLOOKUP(InputData4[[#This Row],[PRODUCT ID]],MasterData[],6,0)</f>
        <v>15.719999999999999</v>
      </c>
      <c r="L505" s="9">
        <f>InputData4[[#This Row],[QUANTITY]]*InputData4[[#This Row],[BUYING PRIZE]]</f>
        <v>24</v>
      </c>
      <c r="M505" s="9">
        <f>InputData4[[#This Row],[QUANTITY]]*InputData4[[#This Row],[SELLING PRICE]]*(1-InputData4[[#This Row],[DISCOUNT %]])</f>
        <v>31.439999999999998</v>
      </c>
      <c r="N505" s="7">
        <f>DAY(InputData4[[#This Row],[DATE]])</f>
        <v>30</v>
      </c>
      <c r="O505" s="7">
        <f>MONTH(InputData4[[#This Row],[DATE]])</f>
        <v>11</v>
      </c>
      <c r="P505" s="7">
        <f>YEAR(InputData4[[#This Row],[DATE]])</f>
        <v>2022</v>
      </c>
    </row>
    <row r="506" spans="1:16" x14ac:dyDescent="0.3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  <c r="G506" t="str">
        <f>VLOOKUP(InputData4[[#This Row],[PRODUCT ID]],MasterData[],2,0)</f>
        <v>Product28</v>
      </c>
      <c r="H506" t="str">
        <f>VLOOKUP(InputData4[[#This Row],[PRODUCT ID]],MasterData[],3,0)</f>
        <v>Category04</v>
      </c>
      <c r="I506" t="str">
        <f>VLOOKUP(InputData4[[#This Row],[PRODUCT ID]],MasterData[],4,0)</f>
        <v>No.</v>
      </c>
      <c r="J506" s="9">
        <f>VLOOKUP(InputData4[[#This Row],[PRODUCT ID]],MasterData[],5,0)</f>
        <v>37</v>
      </c>
      <c r="K506" s="9">
        <f>VLOOKUP(InputData4[[#This Row],[PRODUCT ID]],MasterData[],6,0)</f>
        <v>41.81</v>
      </c>
      <c r="L506" s="9">
        <f>InputData4[[#This Row],[QUANTITY]]*InputData4[[#This Row],[BUYING PRIZE]]</f>
        <v>185</v>
      </c>
      <c r="M506" s="9">
        <f>InputData4[[#This Row],[QUANTITY]]*InputData4[[#This Row],[SELLING PRICE]]*(1-InputData4[[#This Row],[DISCOUNT %]])</f>
        <v>209.05</v>
      </c>
      <c r="N506" s="7">
        <f>DAY(InputData4[[#This Row],[DATE]])</f>
        <v>3</v>
      </c>
      <c r="O506" s="7">
        <f>MONTH(InputData4[[#This Row],[DATE]])</f>
        <v>12</v>
      </c>
      <c r="P506" s="7">
        <f>YEAR(InputData4[[#This Row],[DATE]])</f>
        <v>2022</v>
      </c>
    </row>
    <row r="507" spans="1:16" x14ac:dyDescent="0.3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  <c r="G507" t="str">
        <f>VLOOKUP(InputData4[[#This Row],[PRODUCT ID]],MasterData[],2,0)</f>
        <v>Product26</v>
      </c>
      <c r="H507" t="str">
        <f>VLOOKUP(InputData4[[#This Row],[PRODUCT ID]],MasterData[],3,0)</f>
        <v>Category04</v>
      </c>
      <c r="I507" t="str">
        <f>VLOOKUP(InputData4[[#This Row],[PRODUCT ID]],MasterData[],4,0)</f>
        <v>No.</v>
      </c>
      <c r="J507" s="9">
        <f>VLOOKUP(InputData4[[#This Row],[PRODUCT ID]],MasterData[],5,0)</f>
        <v>18</v>
      </c>
      <c r="K507" s="9">
        <f>VLOOKUP(InputData4[[#This Row],[PRODUCT ID]],MasterData[],6,0)</f>
        <v>24.66</v>
      </c>
      <c r="L507" s="9">
        <f>InputData4[[#This Row],[QUANTITY]]*InputData4[[#This Row],[BUYING PRIZE]]</f>
        <v>180</v>
      </c>
      <c r="M507" s="9">
        <f>InputData4[[#This Row],[QUANTITY]]*InputData4[[#This Row],[SELLING PRICE]]*(1-InputData4[[#This Row],[DISCOUNT %]])</f>
        <v>246.6</v>
      </c>
      <c r="N507" s="7">
        <f>DAY(InputData4[[#This Row],[DATE]])</f>
        <v>4</v>
      </c>
      <c r="O507" s="7">
        <f>MONTH(InputData4[[#This Row],[DATE]])</f>
        <v>12</v>
      </c>
      <c r="P507" s="7">
        <f>YEAR(InputData4[[#This Row],[DATE]])</f>
        <v>2022</v>
      </c>
    </row>
    <row r="508" spans="1:16" x14ac:dyDescent="0.3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  <c r="G508" t="str">
        <f>VLOOKUP(InputData4[[#This Row],[PRODUCT ID]],MasterData[],2,0)</f>
        <v>Product44</v>
      </c>
      <c r="H508" t="str">
        <f>VLOOKUP(InputData4[[#This Row],[PRODUCT ID]],MasterData[],3,0)</f>
        <v>Category05</v>
      </c>
      <c r="I508" t="str">
        <f>VLOOKUP(InputData4[[#This Row],[PRODUCT ID]],MasterData[],4,0)</f>
        <v>Kg</v>
      </c>
      <c r="J508" s="9">
        <f>VLOOKUP(InputData4[[#This Row],[PRODUCT ID]],MasterData[],5,0)</f>
        <v>76</v>
      </c>
      <c r="K508" s="9">
        <f>VLOOKUP(InputData4[[#This Row],[PRODUCT ID]],MasterData[],6,0)</f>
        <v>82.08</v>
      </c>
      <c r="L508" s="9">
        <f>InputData4[[#This Row],[QUANTITY]]*InputData4[[#This Row],[BUYING PRIZE]]</f>
        <v>1140</v>
      </c>
      <c r="M508" s="9">
        <f>InputData4[[#This Row],[QUANTITY]]*InputData4[[#This Row],[SELLING PRICE]]*(1-InputData4[[#This Row],[DISCOUNT %]])</f>
        <v>1231.2</v>
      </c>
      <c r="N508" s="7">
        <f>DAY(InputData4[[#This Row],[DATE]])</f>
        <v>4</v>
      </c>
      <c r="O508" s="7">
        <f>MONTH(InputData4[[#This Row],[DATE]])</f>
        <v>12</v>
      </c>
      <c r="P508" s="7">
        <f>YEAR(InputData4[[#This Row],[DATE]])</f>
        <v>2022</v>
      </c>
    </row>
    <row r="509" spans="1:16" x14ac:dyDescent="0.3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  <c r="G509" t="str">
        <f>VLOOKUP(InputData4[[#This Row],[PRODUCT ID]],MasterData[],2,0)</f>
        <v>Product38</v>
      </c>
      <c r="H509" t="str">
        <f>VLOOKUP(InputData4[[#This Row],[PRODUCT ID]],MasterData[],3,0)</f>
        <v>Category05</v>
      </c>
      <c r="I509" t="str">
        <f>VLOOKUP(InputData4[[#This Row],[PRODUCT ID]],MasterData[],4,0)</f>
        <v>Kg</v>
      </c>
      <c r="J509" s="9">
        <f>VLOOKUP(InputData4[[#This Row],[PRODUCT ID]],MasterData[],5,0)</f>
        <v>72</v>
      </c>
      <c r="K509" s="9">
        <f>VLOOKUP(InputData4[[#This Row],[PRODUCT ID]],MasterData[],6,0)</f>
        <v>79.92</v>
      </c>
      <c r="L509" s="9">
        <f>InputData4[[#This Row],[QUANTITY]]*InputData4[[#This Row],[BUYING PRIZE]]</f>
        <v>864</v>
      </c>
      <c r="M509" s="9">
        <f>InputData4[[#This Row],[QUANTITY]]*InputData4[[#This Row],[SELLING PRICE]]*(1-InputData4[[#This Row],[DISCOUNT %]])</f>
        <v>959.04</v>
      </c>
      <c r="N509" s="7">
        <f>DAY(InputData4[[#This Row],[DATE]])</f>
        <v>7</v>
      </c>
      <c r="O509" s="7">
        <f>MONTH(InputData4[[#This Row],[DATE]])</f>
        <v>12</v>
      </c>
      <c r="P509" s="7">
        <f>YEAR(InputData4[[#This Row],[DATE]])</f>
        <v>2022</v>
      </c>
    </row>
    <row r="510" spans="1:16" x14ac:dyDescent="0.3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  <c r="G510" t="str">
        <f>VLOOKUP(InputData4[[#This Row],[PRODUCT ID]],MasterData[],2,0)</f>
        <v>Product16</v>
      </c>
      <c r="H510" t="str">
        <f>VLOOKUP(InputData4[[#This Row],[PRODUCT ID]],MasterData[],3,0)</f>
        <v>Category02</v>
      </c>
      <c r="I510" t="str">
        <f>VLOOKUP(InputData4[[#This Row],[PRODUCT ID]],MasterData[],4,0)</f>
        <v>No.</v>
      </c>
      <c r="J510" s="9">
        <f>VLOOKUP(InputData4[[#This Row],[PRODUCT ID]],MasterData[],5,0)</f>
        <v>13</v>
      </c>
      <c r="K510" s="9">
        <f>VLOOKUP(InputData4[[#This Row],[PRODUCT ID]],MasterData[],6,0)</f>
        <v>16.64</v>
      </c>
      <c r="L510" s="9">
        <f>InputData4[[#This Row],[QUANTITY]]*InputData4[[#This Row],[BUYING PRIZE]]</f>
        <v>169</v>
      </c>
      <c r="M510" s="9">
        <f>InputData4[[#This Row],[QUANTITY]]*InputData4[[#This Row],[SELLING PRICE]]*(1-InputData4[[#This Row],[DISCOUNT %]])</f>
        <v>216.32</v>
      </c>
      <c r="N510" s="7">
        <f>DAY(InputData4[[#This Row],[DATE]])</f>
        <v>7</v>
      </c>
      <c r="O510" s="7">
        <f>MONTH(InputData4[[#This Row],[DATE]])</f>
        <v>12</v>
      </c>
      <c r="P510" s="7">
        <f>YEAR(InputData4[[#This Row],[DATE]])</f>
        <v>2022</v>
      </c>
    </row>
    <row r="511" spans="1:16" x14ac:dyDescent="0.3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  <c r="G511" t="str">
        <f>VLOOKUP(InputData4[[#This Row],[PRODUCT ID]],MasterData[],2,0)</f>
        <v>Product38</v>
      </c>
      <c r="H511" t="str">
        <f>VLOOKUP(InputData4[[#This Row],[PRODUCT ID]],MasterData[],3,0)</f>
        <v>Category05</v>
      </c>
      <c r="I511" t="str">
        <f>VLOOKUP(InputData4[[#This Row],[PRODUCT ID]],MasterData[],4,0)</f>
        <v>Kg</v>
      </c>
      <c r="J511" s="9">
        <f>VLOOKUP(InputData4[[#This Row],[PRODUCT ID]],MasterData[],5,0)</f>
        <v>72</v>
      </c>
      <c r="K511" s="9">
        <f>VLOOKUP(InputData4[[#This Row],[PRODUCT ID]],MasterData[],6,0)</f>
        <v>79.92</v>
      </c>
      <c r="L511" s="9">
        <f>InputData4[[#This Row],[QUANTITY]]*InputData4[[#This Row],[BUYING PRIZE]]</f>
        <v>360</v>
      </c>
      <c r="M511" s="9">
        <f>InputData4[[#This Row],[QUANTITY]]*InputData4[[#This Row],[SELLING PRICE]]*(1-InputData4[[#This Row],[DISCOUNT %]])</f>
        <v>399.6</v>
      </c>
      <c r="N511" s="7">
        <f>DAY(InputData4[[#This Row],[DATE]])</f>
        <v>7</v>
      </c>
      <c r="O511" s="7">
        <f>MONTH(InputData4[[#This Row],[DATE]])</f>
        <v>12</v>
      </c>
      <c r="P511" s="7">
        <f>YEAR(InputData4[[#This Row],[DATE]])</f>
        <v>2022</v>
      </c>
    </row>
    <row r="512" spans="1:16" x14ac:dyDescent="0.3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  <c r="G512" t="str">
        <f>VLOOKUP(InputData4[[#This Row],[PRODUCT ID]],MasterData[],2,0)</f>
        <v>Product27</v>
      </c>
      <c r="H512" t="str">
        <f>VLOOKUP(InputData4[[#This Row],[PRODUCT ID]],MasterData[],3,0)</f>
        <v>Category04</v>
      </c>
      <c r="I512" t="str">
        <f>VLOOKUP(InputData4[[#This Row],[PRODUCT ID]],MasterData[],4,0)</f>
        <v>Lt</v>
      </c>
      <c r="J512" s="9">
        <f>VLOOKUP(InputData4[[#This Row],[PRODUCT ID]],MasterData[],5,0)</f>
        <v>48</v>
      </c>
      <c r="K512" s="9">
        <f>VLOOKUP(InputData4[[#This Row],[PRODUCT ID]],MasterData[],6,0)</f>
        <v>57.120000000000005</v>
      </c>
      <c r="L512" s="9">
        <f>InputData4[[#This Row],[QUANTITY]]*InputData4[[#This Row],[BUYING PRIZE]]</f>
        <v>240</v>
      </c>
      <c r="M512" s="9">
        <f>InputData4[[#This Row],[QUANTITY]]*InputData4[[#This Row],[SELLING PRICE]]*(1-InputData4[[#This Row],[DISCOUNT %]])</f>
        <v>285.60000000000002</v>
      </c>
      <c r="N512" s="7">
        <f>DAY(InputData4[[#This Row],[DATE]])</f>
        <v>11</v>
      </c>
      <c r="O512" s="7">
        <f>MONTH(InputData4[[#This Row],[DATE]])</f>
        <v>12</v>
      </c>
      <c r="P512" s="7">
        <f>YEAR(InputData4[[#This Row],[DATE]])</f>
        <v>2022</v>
      </c>
    </row>
    <row r="513" spans="1:16" x14ac:dyDescent="0.3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  <c r="G513" t="str">
        <f>VLOOKUP(InputData4[[#This Row],[PRODUCT ID]],MasterData[],2,0)</f>
        <v>Product13</v>
      </c>
      <c r="H513" t="str">
        <f>VLOOKUP(InputData4[[#This Row],[PRODUCT ID]],MasterData[],3,0)</f>
        <v>Category02</v>
      </c>
      <c r="I513" t="str">
        <f>VLOOKUP(InputData4[[#This Row],[PRODUCT ID]],MasterData[],4,0)</f>
        <v>Kg</v>
      </c>
      <c r="J513" s="9">
        <f>VLOOKUP(InputData4[[#This Row],[PRODUCT ID]],MasterData[],5,0)</f>
        <v>112</v>
      </c>
      <c r="K513" s="9">
        <f>VLOOKUP(InputData4[[#This Row],[PRODUCT ID]],MasterData[],6,0)</f>
        <v>122.08</v>
      </c>
      <c r="L513" s="9">
        <f>InputData4[[#This Row],[QUANTITY]]*InputData4[[#This Row],[BUYING PRIZE]]</f>
        <v>1008</v>
      </c>
      <c r="M513" s="9">
        <f>InputData4[[#This Row],[QUANTITY]]*InputData4[[#This Row],[SELLING PRICE]]*(1-InputData4[[#This Row],[DISCOUNT %]])</f>
        <v>1098.72</v>
      </c>
      <c r="N513" s="7">
        <f>DAY(InputData4[[#This Row],[DATE]])</f>
        <v>11</v>
      </c>
      <c r="O513" s="7">
        <f>MONTH(InputData4[[#This Row],[DATE]])</f>
        <v>12</v>
      </c>
      <c r="P513" s="7">
        <f>YEAR(InputData4[[#This Row],[DATE]])</f>
        <v>2022</v>
      </c>
    </row>
    <row r="514" spans="1:16" x14ac:dyDescent="0.3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  <c r="G514" t="str">
        <f>VLOOKUP(InputData4[[#This Row],[PRODUCT ID]],MasterData[],2,0)</f>
        <v>Product14</v>
      </c>
      <c r="H514" t="str">
        <f>VLOOKUP(InputData4[[#This Row],[PRODUCT ID]],MasterData[],3,0)</f>
        <v>Category02</v>
      </c>
      <c r="I514" t="str">
        <f>VLOOKUP(InputData4[[#This Row],[PRODUCT ID]],MasterData[],4,0)</f>
        <v>Kg</v>
      </c>
      <c r="J514" s="9">
        <f>VLOOKUP(InputData4[[#This Row],[PRODUCT ID]],MasterData[],5,0)</f>
        <v>112</v>
      </c>
      <c r="K514" s="9">
        <f>VLOOKUP(InputData4[[#This Row],[PRODUCT ID]],MasterData[],6,0)</f>
        <v>146.72</v>
      </c>
      <c r="L514" s="9">
        <f>InputData4[[#This Row],[QUANTITY]]*InputData4[[#This Row],[BUYING PRIZE]]</f>
        <v>1120</v>
      </c>
      <c r="M514" s="9">
        <f>InputData4[[#This Row],[QUANTITY]]*InputData4[[#This Row],[SELLING PRICE]]*(1-InputData4[[#This Row],[DISCOUNT %]])</f>
        <v>1467.2</v>
      </c>
      <c r="N514" s="7">
        <f>DAY(InputData4[[#This Row],[DATE]])</f>
        <v>11</v>
      </c>
      <c r="O514" s="7">
        <f>MONTH(InputData4[[#This Row],[DATE]])</f>
        <v>12</v>
      </c>
      <c r="P514" s="7">
        <f>YEAR(InputData4[[#This Row],[DATE]])</f>
        <v>2022</v>
      </c>
    </row>
    <row r="515" spans="1:16" x14ac:dyDescent="0.3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  <c r="G515" t="str">
        <f>VLOOKUP(InputData4[[#This Row],[PRODUCT ID]],MasterData[],2,0)</f>
        <v>Product30</v>
      </c>
      <c r="H515" t="str">
        <f>VLOOKUP(InputData4[[#This Row],[PRODUCT ID]],MasterData[],3,0)</f>
        <v>Category04</v>
      </c>
      <c r="I515" t="str">
        <f>VLOOKUP(InputData4[[#This Row],[PRODUCT ID]],MasterData[],4,0)</f>
        <v>Ft</v>
      </c>
      <c r="J515" s="9">
        <f>VLOOKUP(InputData4[[#This Row],[PRODUCT ID]],MasterData[],5,0)</f>
        <v>148</v>
      </c>
      <c r="K515" s="9">
        <f>VLOOKUP(InputData4[[#This Row],[PRODUCT ID]],MasterData[],6,0)</f>
        <v>201.28</v>
      </c>
      <c r="L515" s="9">
        <f>InputData4[[#This Row],[QUANTITY]]*InputData4[[#This Row],[BUYING PRIZE]]</f>
        <v>1332</v>
      </c>
      <c r="M515" s="9">
        <f>InputData4[[#This Row],[QUANTITY]]*InputData4[[#This Row],[SELLING PRICE]]*(1-InputData4[[#This Row],[DISCOUNT %]])</f>
        <v>1811.52</v>
      </c>
      <c r="N515" s="7">
        <f>DAY(InputData4[[#This Row],[DATE]])</f>
        <v>12</v>
      </c>
      <c r="O515" s="7">
        <f>MONTH(InputData4[[#This Row],[DATE]])</f>
        <v>12</v>
      </c>
      <c r="P515" s="7">
        <f>YEAR(InputData4[[#This Row],[DATE]])</f>
        <v>2022</v>
      </c>
    </row>
    <row r="516" spans="1:16" x14ac:dyDescent="0.3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  <c r="G516" t="str">
        <f>VLOOKUP(InputData4[[#This Row],[PRODUCT ID]],MasterData[],2,0)</f>
        <v>Product41</v>
      </c>
      <c r="H516" t="str">
        <f>VLOOKUP(InputData4[[#This Row],[PRODUCT ID]],MasterData[],3,0)</f>
        <v>Category05</v>
      </c>
      <c r="I516" t="str">
        <f>VLOOKUP(InputData4[[#This Row],[PRODUCT ID]],MasterData[],4,0)</f>
        <v>Ft</v>
      </c>
      <c r="J516" s="9">
        <f>VLOOKUP(InputData4[[#This Row],[PRODUCT ID]],MasterData[],5,0)</f>
        <v>138</v>
      </c>
      <c r="K516" s="9">
        <f>VLOOKUP(InputData4[[#This Row],[PRODUCT ID]],MasterData[],6,0)</f>
        <v>173.88</v>
      </c>
      <c r="L516" s="9">
        <f>InputData4[[#This Row],[QUANTITY]]*InputData4[[#This Row],[BUYING PRIZE]]</f>
        <v>1380</v>
      </c>
      <c r="M516" s="9">
        <f>InputData4[[#This Row],[QUANTITY]]*InputData4[[#This Row],[SELLING PRICE]]*(1-InputData4[[#This Row],[DISCOUNT %]])</f>
        <v>1738.8</v>
      </c>
      <c r="N516" s="7">
        <f>DAY(InputData4[[#This Row],[DATE]])</f>
        <v>12</v>
      </c>
      <c r="O516" s="7">
        <f>MONTH(InputData4[[#This Row],[DATE]])</f>
        <v>12</v>
      </c>
      <c r="P516" s="7">
        <f>YEAR(InputData4[[#This Row],[DATE]])</f>
        <v>2022</v>
      </c>
    </row>
    <row r="517" spans="1:16" x14ac:dyDescent="0.3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  <c r="G517" t="str">
        <f>VLOOKUP(InputData4[[#This Row],[PRODUCT ID]],MasterData[],2,0)</f>
        <v>Product05</v>
      </c>
      <c r="H517" t="str">
        <f>VLOOKUP(InputData4[[#This Row],[PRODUCT ID]],MasterData[],3,0)</f>
        <v>Category01</v>
      </c>
      <c r="I517" t="str">
        <f>VLOOKUP(InputData4[[#This Row],[PRODUCT ID]],MasterData[],4,0)</f>
        <v>Ft</v>
      </c>
      <c r="J517" s="9">
        <f>VLOOKUP(InputData4[[#This Row],[PRODUCT ID]],MasterData[],5,0)</f>
        <v>133</v>
      </c>
      <c r="K517" s="9">
        <f>VLOOKUP(InputData4[[#This Row],[PRODUCT ID]],MasterData[],6,0)</f>
        <v>155.61000000000001</v>
      </c>
      <c r="L517" s="9">
        <f>InputData4[[#This Row],[QUANTITY]]*InputData4[[#This Row],[BUYING PRIZE]]</f>
        <v>532</v>
      </c>
      <c r="M517" s="9">
        <f>InputData4[[#This Row],[QUANTITY]]*InputData4[[#This Row],[SELLING PRICE]]*(1-InputData4[[#This Row],[DISCOUNT %]])</f>
        <v>622.44000000000005</v>
      </c>
      <c r="N517" s="7">
        <f>DAY(InputData4[[#This Row],[DATE]])</f>
        <v>14</v>
      </c>
      <c r="O517" s="7">
        <f>MONTH(InputData4[[#This Row],[DATE]])</f>
        <v>12</v>
      </c>
      <c r="P517" s="7">
        <f>YEAR(InputData4[[#This Row],[DATE]])</f>
        <v>2022</v>
      </c>
    </row>
    <row r="518" spans="1:16" x14ac:dyDescent="0.3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  <c r="G518" t="str">
        <f>VLOOKUP(InputData4[[#This Row],[PRODUCT ID]],MasterData[],2,0)</f>
        <v>Product09</v>
      </c>
      <c r="H518" t="str">
        <f>VLOOKUP(InputData4[[#This Row],[PRODUCT ID]],MasterData[],3,0)</f>
        <v>Category01</v>
      </c>
      <c r="I518" t="str">
        <f>VLOOKUP(InputData4[[#This Row],[PRODUCT ID]],MasterData[],4,0)</f>
        <v>No.</v>
      </c>
      <c r="J518" s="9">
        <f>VLOOKUP(InputData4[[#This Row],[PRODUCT ID]],MasterData[],5,0)</f>
        <v>6</v>
      </c>
      <c r="K518" s="9">
        <f>VLOOKUP(InputData4[[#This Row],[PRODUCT ID]],MasterData[],6,0)</f>
        <v>7.8599999999999994</v>
      </c>
      <c r="L518" s="9">
        <f>InputData4[[#This Row],[QUANTITY]]*InputData4[[#This Row],[BUYING PRIZE]]</f>
        <v>78</v>
      </c>
      <c r="M518" s="9">
        <f>InputData4[[#This Row],[QUANTITY]]*InputData4[[#This Row],[SELLING PRICE]]*(1-InputData4[[#This Row],[DISCOUNT %]])</f>
        <v>102.17999999999999</v>
      </c>
      <c r="N518" s="7">
        <f>DAY(InputData4[[#This Row],[DATE]])</f>
        <v>15</v>
      </c>
      <c r="O518" s="7">
        <f>MONTH(InputData4[[#This Row],[DATE]])</f>
        <v>12</v>
      </c>
      <c r="P518" s="7">
        <f>YEAR(InputData4[[#This Row],[DATE]])</f>
        <v>2022</v>
      </c>
    </row>
    <row r="519" spans="1:16" x14ac:dyDescent="0.3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  <c r="G519" t="str">
        <f>VLOOKUP(InputData4[[#This Row],[PRODUCT ID]],MasterData[],2,0)</f>
        <v>Product44</v>
      </c>
      <c r="H519" t="str">
        <f>VLOOKUP(InputData4[[#This Row],[PRODUCT ID]],MasterData[],3,0)</f>
        <v>Category05</v>
      </c>
      <c r="I519" t="str">
        <f>VLOOKUP(InputData4[[#This Row],[PRODUCT ID]],MasterData[],4,0)</f>
        <v>Kg</v>
      </c>
      <c r="J519" s="9">
        <f>VLOOKUP(InputData4[[#This Row],[PRODUCT ID]],MasterData[],5,0)</f>
        <v>76</v>
      </c>
      <c r="K519" s="9">
        <f>VLOOKUP(InputData4[[#This Row],[PRODUCT ID]],MasterData[],6,0)</f>
        <v>82.08</v>
      </c>
      <c r="L519" s="9">
        <f>InputData4[[#This Row],[QUANTITY]]*InputData4[[#This Row],[BUYING PRIZE]]</f>
        <v>532</v>
      </c>
      <c r="M519" s="9">
        <f>InputData4[[#This Row],[QUANTITY]]*InputData4[[#This Row],[SELLING PRICE]]*(1-InputData4[[#This Row],[DISCOUNT %]])</f>
        <v>574.55999999999995</v>
      </c>
      <c r="N519" s="7">
        <f>DAY(InputData4[[#This Row],[DATE]])</f>
        <v>19</v>
      </c>
      <c r="O519" s="7">
        <f>MONTH(InputData4[[#This Row],[DATE]])</f>
        <v>12</v>
      </c>
      <c r="P519" s="7">
        <f>YEAR(InputData4[[#This Row],[DATE]])</f>
        <v>2022</v>
      </c>
    </row>
    <row r="520" spans="1:16" x14ac:dyDescent="0.3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  <c r="G520" t="str">
        <f>VLOOKUP(InputData4[[#This Row],[PRODUCT ID]],MasterData[],2,0)</f>
        <v>Product11</v>
      </c>
      <c r="H520" t="str">
        <f>VLOOKUP(InputData4[[#This Row],[PRODUCT ID]],MasterData[],3,0)</f>
        <v>Category02</v>
      </c>
      <c r="I520" t="str">
        <f>VLOOKUP(InputData4[[#This Row],[PRODUCT ID]],MasterData[],4,0)</f>
        <v>Lt</v>
      </c>
      <c r="J520" s="9">
        <f>VLOOKUP(InputData4[[#This Row],[PRODUCT ID]],MasterData[],5,0)</f>
        <v>44</v>
      </c>
      <c r="K520" s="9">
        <f>VLOOKUP(InputData4[[#This Row],[PRODUCT ID]],MasterData[],6,0)</f>
        <v>48.4</v>
      </c>
      <c r="L520" s="9">
        <f>InputData4[[#This Row],[QUANTITY]]*InputData4[[#This Row],[BUYING PRIZE]]</f>
        <v>616</v>
      </c>
      <c r="M520" s="9">
        <f>InputData4[[#This Row],[QUANTITY]]*InputData4[[#This Row],[SELLING PRICE]]*(1-InputData4[[#This Row],[DISCOUNT %]])</f>
        <v>677.6</v>
      </c>
      <c r="N520" s="7">
        <f>DAY(InputData4[[#This Row],[DATE]])</f>
        <v>19</v>
      </c>
      <c r="O520" s="7">
        <f>MONTH(InputData4[[#This Row],[DATE]])</f>
        <v>12</v>
      </c>
      <c r="P520" s="7">
        <f>YEAR(InputData4[[#This Row],[DATE]])</f>
        <v>2022</v>
      </c>
    </row>
    <row r="521" spans="1:16" x14ac:dyDescent="0.3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  <c r="G521" t="str">
        <f>VLOOKUP(InputData4[[#This Row],[PRODUCT ID]],MasterData[],2,0)</f>
        <v>Product09</v>
      </c>
      <c r="H521" t="str">
        <f>VLOOKUP(InputData4[[#This Row],[PRODUCT ID]],MasterData[],3,0)</f>
        <v>Category01</v>
      </c>
      <c r="I521" t="str">
        <f>VLOOKUP(InputData4[[#This Row],[PRODUCT ID]],MasterData[],4,0)</f>
        <v>No.</v>
      </c>
      <c r="J521" s="9">
        <f>VLOOKUP(InputData4[[#This Row],[PRODUCT ID]],MasterData[],5,0)</f>
        <v>6</v>
      </c>
      <c r="K521" s="9">
        <f>VLOOKUP(InputData4[[#This Row],[PRODUCT ID]],MasterData[],6,0)</f>
        <v>7.8599999999999994</v>
      </c>
      <c r="L521" s="9">
        <f>InputData4[[#This Row],[QUANTITY]]*InputData4[[#This Row],[BUYING PRIZE]]</f>
        <v>66</v>
      </c>
      <c r="M521" s="9">
        <f>InputData4[[#This Row],[QUANTITY]]*InputData4[[#This Row],[SELLING PRICE]]*(1-InputData4[[#This Row],[DISCOUNT %]])</f>
        <v>86.46</v>
      </c>
      <c r="N521" s="7">
        <f>DAY(InputData4[[#This Row],[DATE]])</f>
        <v>19</v>
      </c>
      <c r="O521" s="7">
        <f>MONTH(InputData4[[#This Row],[DATE]])</f>
        <v>12</v>
      </c>
      <c r="P521" s="7">
        <f>YEAR(InputData4[[#This Row],[DATE]])</f>
        <v>2022</v>
      </c>
    </row>
    <row r="522" spans="1:16" x14ac:dyDescent="0.3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  <c r="G522" t="str">
        <f>VLOOKUP(InputData4[[#This Row],[PRODUCT ID]],MasterData[],2,0)</f>
        <v>Product06</v>
      </c>
      <c r="H522" t="str">
        <f>VLOOKUP(InputData4[[#This Row],[PRODUCT ID]],MasterData[],3,0)</f>
        <v>Category01</v>
      </c>
      <c r="I522" t="str">
        <f>VLOOKUP(InputData4[[#This Row],[PRODUCT ID]],MasterData[],4,0)</f>
        <v>Kg</v>
      </c>
      <c r="J522" s="9">
        <f>VLOOKUP(InputData4[[#This Row],[PRODUCT ID]],MasterData[],5,0)</f>
        <v>75</v>
      </c>
      <c r="K522" s="9">
        <f>VLOOKUP(InputData4[[#This Row],[PRODUCT ID]],MasterData[],6,0)</f>
        <v>85.5</v>
      </c>
      <c r="L522" s="9">
        <f>InputData4[[#This Row],[QUANTITY]]*InputData4[[#This Row],[BUYING PRIZE]]</f>
        <v>750</v>
      </c>
      <c r="M522" s="9">
        <f>InputData4[[#This Row],[QUANTITY]]*InputData4[[#This Row],[SELLING PRICE]]*(1-InputData4[[#This Row],[DISCOUNT %]])</f>
        <v>855</v>
      </c>
      <c r="N522" s="7">
        <f>DAY(InputData4[[#This Row],[DATE]])</f>
        <v>21</v>
      </c>
      <c r="O522" s="7">
        <f>MONTH(InputData4[[#This Row],[DATE]])</f>
        <v>12</v>
      </c>
      <c r="P522" s="7">
        <f>YEAR(InputData4[[#This Row],[DATE]])</f>
        <v>2022</v>
      </c>
    </row>
    <row r="523" spans="1:16" x14ac:dyDescent="0.3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  <c r="G523" t="str">
        <f>VLOOKUP(InputData4[[#This Row],[PRODUCT ID]],MasterData[],2,0)</f>
        <v>Product08</v>
      </c>
      <c r="H523" t="str">
        <f>VLOOKUP(InputData4[[#This Row],[PRODUCT ID]],MasterData[],3,0)</f>
        <v>Category01</v>
      </c>
      <c r="I523" t="str">
        <f>VLOOKUP(InputData4[[#This Row],[PRODUCT ID]],MasterData[],4,0)</f>
        <v>Kg</v>
      </c>
      <c r="J523" s="9">
        <f>VLOOKUP(InputData4[[#This Row],[PRODUCT ID]],MasterData[],5,0)</f>
        <v>83</v>
      </c>
      <c r="K523" s="9">
        <f>VLOOKUP(InputData4[[#This Row],[PRODUCT ID]],MasterData[],6,0)</f>
        <v>94.62</v>
      </c>
      <c r="L523" s="9">
        <f>InputData4[[#This Row],[QUANTITY]]*InputData4[[#This Row],[BUYING PRIZE]]</f>
        <v>1245</v>
      </c>
      <c r="M523" s="9">
        <f>InputData4[[#This Row],[QUANTITY]]*InputData4[[#This Row],[SELLING PRICE]]*(1-InputData4[[#This Row],[DISCOUNT %]])</f>
        <v>1419.3000000000002</v>
      </c>
      <c r="N523" s="7">
        <f>DAY(InputData4[[#This Row],[DATE]])</f>
        <v>29</v>
      </c>
      <c r="O523" s="7">
        <f>MONTH(InputData4[[#This Row],[DATE]])</f>
        <v>12</v>
      </c>
      <c r="P523" s="7">
        <f>YEAR(InputData4[[#This Row],[DATE]])</f>
        <v>2022</v>
      </c>
    </row>
    <row r="524" spans="1:16" x14ac:dyDescent="0.3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  <c r="G524" t="str">
        <f>VLOOKUP(InputData4[[#This Row],[PRODUCT ID]],MasterData[],2,0)</f>
        <v>Product42</v>
      </c>
      <c r="H524" t="str">
        <f>VLOOKUP(InputData4[[#This Row],[PRODUCT ID]],MasterData[],3,0)</f>
        <v>Category05</v>
      </c>
      <c r="I524" t="str">
        <f>VLOOKUP(InputData4[[#This Row],[PRODUCT ID]],MasterData[],4,0)</f>
        <v>Ft</v>
      </c>
      <c r="J524" s="9">
        <f>VLOOKUP(InputData4[[#This Row],[PRODUCT ID]],MasterData[],5,0)</f>
        <v>120</v>
      </c>
      <c r="K524" s="9">
        <f>VLOOKUP(InputData4[[#This Row],[PRODUCT ID]],MasterData[],6,0)</f>
        <v>162</v>
      </c>
      <c r="L524" s="9">
        <f>InputData4[[#This Row],[QUANTITY]]*InputData4[[#This Row],[BUYING PRIZE]]</f>
        <v>120</v>
      </c>
      <c r="M524" s="9">
        <f>InputData4[[#This Row],[QUANTITY]]*InputData4[[#This Row],[SELLING PRICE]]*(1-InputData4[[#This Row],[DISCOUNT %]])</f>
        <v>162</v>
      </c>
      <c r="N524" s="7">
        <f>DAY(InputData4[[#This Row],[DATE]])</f>
        <v>29</v>
      </c>
      <c r="O524" s="7">
        <f>MONTH(InputData4[[#This Row],[DATE]])</f>
        <v>12</v>
      </c>
      <c r="P524" s="7">
        <f>YEAR(InputData4[[#This Row],[DATE]])</f>
        <v>2022</v>
      </c>
    </row>
    <row r="525" spans="1:16" x14ac:dyDescent="0.3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  <c r="G525" t="str">
        <f>VLOOKUP(InputData4[[#This Row],[PRODUCT ID]],MasterData[],2,0)</f>
        <v>Product41</v>
      </c>
      <c r="H525" t="str">
        <f>VLOOKUP(InputData4[[#This Row],[PRODUCT ID]],MasterData[],3,0)</f>
        <v>Category05</v>
      </c>
      <c r="I525" t="str">
        <f>VLOOKUP(InputData4[[#This Row],[PRODUCT ID]],MasterData[],4,0)</f>
        <v>Ft</v>
      </c>
      <c r="J525" s="9">
        <f>VLOOKUP(InputData4[[#This Row],[PRODUCT ID]],MasterData[],5,0)</f>
        <v>138</v>
      </c>
      <c r="K525" s="9">
        <f>VLOOKUP(InputData4[[#This Row],[PRODUCT ID]],MasterData[],6,0)</f>
        <v>173.88</v>
      </c>
      <c r="L525" s="9">
        <f>InputData4[[#This Row],[QUANTITY]]*InputData4[[#This Row],[BUYING PRIZE]]</f>
        <v>1932</v>
      </c>
      <c r="M525" s="9">
        <f>InputData4[[#This Row],[QUANTITY]]*InputData4[[#This Row],[SELLING PRICE]]*(1-InputData4[[#This Row],[DISCOUNT %]])</f>
        <v>2434.3199999999997</v>
      </c>
      <c r="N525" s="7">
        <f>DAY(InputData4[[#This Row],[DATE]])</f>
        <v>30</v>
      </c>
      <c r="O525" s="7">
        <f>MONTH(InputData4[[#This Row],[DATE]])</f>
        <v>12</v>
      </c>
      <c r="P525" s="7">
        <f>YEAR(InputData4[[#This Row],[DATE]])</f>
        <v>2022</v>
      </c>
    </row>
    <row r="526" spans="1:16" x14ac:dyDescent="0.3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  <c r="G526" t="str">
        <f>VLOOKUP(InputData4[[#This Row],[PRODUCT ID]],MasterData[],2,0)</f>
        <v>Product33</v>
      </c>
      <c r="H526" t="str">
        <f>VLOOKUP(InputData4[[#This Row],[PRODUCT ID]],MasterData[],3,0)</f>
        <v>Category04</v>
      </c>
      <c r="I526" t="str">
        <f>VLOOKUP(InputData4[[#This Row],[PRODUCT ID]],MasterData[],4,0)</f>
        <v>Kg</v>
      </c>
      <c r="J526" s="9">
        <f>VLOOKUP(InputData4[[#This Row],[PRODUCT ID]],MasterData[],5,0)</f>
        <v>95</v>
      </c>
      <c r="K526" s="9">
        <f>VLOOKUP(InputData4[[#This Row],[PRODUCT ID]],MasterData[],6,0)</f>
        <v>119.7</v>
      </c>
      <c r="L526" s="9">
        <f>InputData4[[#This Row],[QUANTITY]]*InputData4[[#This Row],[BUYING PRIZE]]</f>
        <v>1140</v>
      </c>
      <c r="M526" s="9">
        <f>InputData4[[#This Row],[QUANTITY]]*InputData4[[#This Row],[SELLING PRICE]]*(1-InputData4[[#This Row],[DISCOUNT %]])</f>
        <v>1436.4</v>
      </c>
      <c r="N526" s="7">
        <f>DAY(InputData4[[#This Row],[DATE]])</f>
        <v>31</v>
      </c>
      <c r="O526" s="7">
        <f>MONTH(InputData4[[#This Row],[DATE]])</f>
        <v>12</v>
      </c>
      <c r="P526" s="7">
        <f>YEAR(InputData4[[#This Row],[DATE]])</f>
        <v>2022</v>
      </c>
    </row>
    <row r="527" spans="1:16" x14ac:dyDescent="0.3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  <c r="G527" t="str">
        <f>VLOOKUP(InputData4[[#This Row],[PRODUCT ID]],MasterData[],2,0)</f>
        <v>Product11</v>
      </c>
      <c r="H527" t="str">
        <f>VLOOKUP(InputData4[[#This Row],[PRODUCT ID]],MasterData[],3,0)</f>
        <v>Category02</v>
      </c>
      <c r="I527" t="str">
        <f>VLOOKUP(InputData4[[#This Row],[PRODUCT ID]],MasterData[],4,0)</f>
        <v>Lt</v>
      </c>
      <c r="J527" s="9">
        <f>VLOOKUP(InputData4[[#This Row],[PRODUCT ID]],MasterData[],5,0)</f>
        <v>44</v>
      </c>
      <c r="K527" s="9">
        <f>VLOOKUP(InputData4[[#This Row],[PRODUCT ID]],MasterData[],6,0)</f>
        <v>48.4</v>
      </c>
      <c r="L527" s="9">
        <f>InputData4[[#This Row],[QUANTITY]]*InputData4[[#This Row],[BUYING PRIZE]]</f>
        <v>264</v>
      </c>
      <c r="M527" s="9">
        <f>InputData4[[#This Row],[QUANTITY]]*InputData4[[#This Row],[SELLING PRICE]]*(1-InputData4[[#This Row],[DISCOUNT %]])</f>
        <v>290.39999999999998</v>
      </c>
      <c r="N527" s="7">
        <f>DAY(InputData4[[#This Row],[DATE]])</f>
        <v>31</v>
      </c>
      <c r="O527" s="7">
        <f>MONTH(InputData4[[#This Row],[DATE]])</f>
        <v>12</v>
      </c>
      <c r="P527" s="7">
        <f>YEAR(InputData4[[#This Row],[DATE]])</f>
        <v>2022</v>
      </c>
    </row>
    <row r="528" spans="1:16" x14ac:dyDescent="0.3">
      <c r="A528" s="3">
        <v>44926</v>
      </c>
      <c r="B528" s="4" t="s">
        <v>29</v>
      </c>
      <c r="C528" s="5">
        <v>3</v>
      </c>
      <c r="D528" s="5" t="s">
        <v>105</v>
      </c>
      <c r="E528" s="5" t="s">
        <v>107</v>
      </c>
      <c r="F528" s="6">
        <v>0</v>
      </c>
      <c r="G528" t="str">
        <f>VLOOKUP(InputData4[[#This Row],[PRODUCT ID]],MasterData[],2,0)</f>
        <v>Product11</v>
      </c>
      <c r="H528" t="str">
        <f>VLOOKUP(InputData4[[#This Row],[PRODUCT ID]],MasterData[],3,0)</f>
        <v>Category02</v>
      </c>
      <c r="I528" t="str">
        <f>VLOOKUP(InputData4[[#This Row],[PRODUCT ID]],MasterData[],4,0)</f>
        <v>Lt</v>
      </c>
      <c r="J528" s="9">
        <f>VLOOKUP(InputData4[[#This Row],[PRODUCT ID]],MasterData[],5,0)</f>
        <v>44</v>
      </c>
      <c r="K528" s="9">
        <f>VLOOKUP(InputData4[[#This Row],[PRODUCT ID]],MasterData[],6,0)</f>
        <v>48.4</v>
      </c>
      <c r="L528" s="9">
        <f>InputData4[[#This Row],[QUANTITY]]*InputData4[[#This Row],[BUYING PRIZE]]</f>
        <v>132</v>
      </c>
      <c r="M528" s="9">
        <f>InputData4[[#This Row],[QUANTITY]]*InputData4[[#This Row],[SELLING PRICE]]*(1-InputData4[[#This Row],[DISCOUNT %]])</f>
        <v>145.19999999999999</v>
      </c>
      <c r="N528" s="7">
        <f>DAY(InputData4[[#This Row],[DATE]])</f>
        <v>31</v>
      </c>
      <c r="O528" s="7">
        <f>MONTH(InputData4[[#This Row],[DATE]])</f>
        <v>12</v>
      </c>
      <c r="P528" s="7">
        <f>YEAR(InputData4[[#This Row],[DATE]])</f>
        <v>2022</v>
      </c>
    </row>
  </sheetData>
  <dataValidations count="3">
    <dataValidation type="list" allowBlank="1" showInputMessage="1" sqref="D2:D528" xr:uid="{268D811A-09BF-4C05-A954-17A67B7F2524}">
      <formula1>"Online,Wholesaler,Direct Sales"</formula1>
    </dataValidation>
    <dataValidation type="whole" allowBlank="1" showInputMessage="1" showErrorMessage="1" sqref="C2:C528" xr:uid="{9AAA9F46-465D-40B1-8D38-43468869B971}">
      <formula1>1</formula1>
      <formula2>1000</formula2>
    </dataValidation>
    <dataValidation type="list" allowBlank="1" showInputMessage="1" showErrorMessage="1" sqref="E2:E528" xr:uid="{2CF8B199-9D05-45F6-BB7C-000742F91674}">
      <formula1>"Online,Cash"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F528"/>
  <sheetViews>
    <sheetView workbookViewId="0">
      <selection activeCell="I4" sqref="I4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4.21875" bestFit="1" customWidth="1"/>
    <col min="4" max="4" width="14.109375" bestFit="1" customWidth="1"/>
    <col min="5" max="5" width="19.77734375" bestFit="1" customWidth="1"/>
    <col min="6" max="6" width="16.21875" bestFit="1" customWidth="1"/>
    <col min="7" max="7" width="13.6640625" bestFit="1" customWidth="1"/>
    <col min="8" max="8" width="14.44140625" bestFit="1" customWidth="1"/>
    <col min="9" max="9" width="9.88671875" bestFit="1" customWidth="1"/>
    <col min="10" max="10" width="17.21875" bestFit="1" customWidth="1"/>
    <col min="11" max="11" width="17.77734375" bestFit="1" customWidth="1"/>
    <col min="12" max="12" width="24.21875" bestFit="1" customWidth="1"/>
    <col min="13" max="13" width="24.5546875" bestFit="1" customWidth="1"/>
  </cols>
  <sheetData>
    <row r="1" spans="1:6" ht="15" thickBot="1" x14ac:dyDescent="0.35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3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3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3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3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3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3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3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3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3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3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3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3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3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3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3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3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3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3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3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3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3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3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3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3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3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3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3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3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3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3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3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3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3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3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3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3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3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3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3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3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3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3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3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3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3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3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3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3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3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3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3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3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3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3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3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3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3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3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3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3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3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3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3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3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3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3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3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3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3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3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3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3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3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3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3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3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3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3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3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3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3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3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3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3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3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3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3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3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3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3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3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3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3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3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3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3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3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3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3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3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3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3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3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3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3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3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3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3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3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3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3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3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3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3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3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3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3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3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3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3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3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3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3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3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3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3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3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3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3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3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3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3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3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3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3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3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3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3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3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3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3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3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3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3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3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3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3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3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3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3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3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3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3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3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3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3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3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3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3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3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3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3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3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3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3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3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3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3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3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3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3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3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3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3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3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3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3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3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3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3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3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3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3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3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3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3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3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3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3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3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3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3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3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3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3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3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3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3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3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3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3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3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3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3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3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3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3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3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3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3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3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3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3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3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3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3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3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3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3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3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3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3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3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3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3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3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3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3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3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3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3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3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3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3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3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3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3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3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3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3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3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3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3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3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3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3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3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3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3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3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3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3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3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3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3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3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3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3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3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3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3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3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3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3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3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3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3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3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3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3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3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3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3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3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3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3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3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3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3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3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3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3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3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3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3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3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3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3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3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3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3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3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3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3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3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3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3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3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3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3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3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3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3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3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3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3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3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3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3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3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3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3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3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3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3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3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3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3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3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3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3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3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3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3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3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3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3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3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3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3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3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3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3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3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3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3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3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3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3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3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3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3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3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3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3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3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3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3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3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3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3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3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3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3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3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3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3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3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3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3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3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3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3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3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3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3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3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3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3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3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3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3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3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3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3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3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3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3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3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3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3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3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3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3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3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3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3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3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3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3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3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3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3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3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3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3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3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3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3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3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3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3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3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3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3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3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3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3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3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3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3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3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3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3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3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3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3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3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3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3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3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3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3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3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3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3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3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3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3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3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3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3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3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3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3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3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3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3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3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3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3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3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3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3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3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3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3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3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3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3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3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3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3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3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3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3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3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3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3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3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3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3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3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3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3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3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3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3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3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3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3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3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3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3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3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3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3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3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3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3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3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3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3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3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3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3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3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3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3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3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3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3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3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3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3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3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3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3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3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3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3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3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3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3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3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3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3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3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3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3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3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3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3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3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3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3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3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3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3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3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3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3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3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3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3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3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3">
      <c r="A528" s="3">
        <v>44926</v>
      </c>
      <c r="B528" s="4" t="s">
        <v>29</v>
      </c>
      <c r="C528" s="5">
        <v>3</v>
      </c>
      <c r="D528" s="5" t="s">
        <v>105</v>
      </c>
      <c r="E528" s="5" t="s">
        <v>107</v>
      </c>
      <c r="F528" s="6">
        <v>0</v>
      </c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F1C2-AD2F-44A1-92F4-8B61D65E5DE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F46"/>
  <sheetViews>
    <sheetView topLeftCell="A20" workbookViewId="0">
      <selection activeCell="B1" sqref="B1:F1"/>
    </sheetView>
  </sheetViews>
  <sheetFormatPr defaultRowHeight="14.4" x14ac:dyDescent="0.3"/>
  <cols>
    <col min="1" max="1" width="15.88671875" bestFit="1" customWidth="1"/>
    <col min="2" max="2" width="13.6640625" bestFit="1" customWidth="1"/>
    <col min="3" max="3" width="14.44140625" bestFit="1" customWidth="1"/>
    <col min="4" max="4" width="9.88671875" bestFit="1" customWidth="1"/>
    <col min="5" max="5" width="17.21875" bestFit="1" customWidth="1"/>
    <col min="6" max="6" width="17.777343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98</v>
      </c>
      <c r="F2">
        <v>103.88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>
        <v>105</v>
      </c>
      <c r="F3">
        <v>142.80000000000001</v>
      </c>
    </row>
    <row r="4" spans="1:6" x14ac:dyDescent="0.3">
      <c r="A4" t="s">
        <v>12</v>
      </c>
      <c r="B4" t="s">
        <v>13</v>
      </c>
      <c r="C4" t="s">
        <v>8</v>
      </c>
      <c r="D4" t="s">
        <v>9</v>
      </c>
      <c r="E4">
        <v>71</v>
      </c>
      <c r="F4">
        <v>80.94</v>
      </c>
    </row>
    <row r="5" spans="1:6" x14ac:dyDescent="0.3">
      <c r="A5" t="s">
        <v>14</v>
      </c>
      <c r="B5" t="s">
        <v>15</v>
      </c>
      <c r="C5" t="s">
        <v>8</v>
      </c>
      <c r="D5" t="s">
        <v>109</v>
      </c>
      <c r="E5">
        <v>44</v>
      </c>
      <c r="F5">
        <v>48.84</v>
      </c>
    </row>
    <row r="6" spans="1:6" x14ac:dyDescent="0.3">
      <c r="A6" t="s">
        <v>16</v>
      </c>
      <c r="B6" t="s">
        <v>17</v>
      </c>
      <c r="C6" t="s">
        <v>8</v>
      </c>
      <c r="D6" t="s">
        <v>110</v>
      </c>
      <c r="E6">
        <v>133</v>
      </c>
      <c r="F6">
        <v>155.61000000000001</v>
      </c>
    </row>
    <row r="7" spans="1:6" x14ac:dyDescent="0.3">
      <c r="A7" t="s">
        <v>18</v>
      </c>
      <c r="B7" t="s">
        <v>19</v>
      </c>
      <c r="C7" t="s">
        <v>8</v>
      </c>
      <c r="D7" t="s">
        <v>9</v>
      </c>
      <c r="E7">
        <v>75</v>
      </c>
      <c r="F7">
        <v>85.5</v>
      </c>
    </row>
    <row r="8" spans="1:6" x14ac:dyDescent="0.3">
      <c r="A8" t="s">
        <v>20</v>
      </c>
      <c r="B8" t="s">
        <v>21</v>
      </c>
      <c r="C8" t="s">
        <v>8</v>
      </c>
      <c r="D8" t="s">
        <v>109</v>
      </c>
      <c r="E8">
        <v>43</v>
      </c>
      <c r="F8">
        <v>47.730000000000004</v>
      </c>
    </row>
    <row r="9" spans="1:6" x14ac:dyDescent="0.3">
      <c r="A9" t="s">
        <v>22</v>
      </c>
      <c r="B9" t="s">
        <v>23</v>
      </c>
      <c r="C9" t="s">
        <v>8</v>
      </c>
      <c r="D9" t="s">
        <v>9</v>
      </c>
      <c r="E9">
        <v>83</v>
      </c>
      <c r="F9">
        <v>94.62</v>
      </c>
    </row>
    <row r="10" spans="1:6" x14ac:dyDescent="0.3">
      <c r="A10" t="s">
        <v>24</v>
      </c>
      <c r="B10" t="s">
        <v>25</v>
      </c>
      <c r="C10" t="s">
        <v>8</v>
      </c>
      <c r="D10" t="s">
        <v>111</v>
      </c>
      <c r="E10">
        <v>6</v>
      </c>
      <c r="F10">
        <v>7.8599999999999994</v>
      </c>
    </row>
    <row r="11" spans="1:6" x14ac:dyDescent="0.3">
      <c r="A11" t="s">
        <v>26</v>
      </c>
      <c r="B11" t="s">
        <v>27</v>
      </c>
      <c r="C11" t="s">
        <v>28</v>
      </c>
      <c r="D11" t="s">
        <v>110</v>
      </c>
      <c r="E11">
        <v>148</v>
      </c>
      <c r="F11">
        <v>164.28</v>
      </c>
    </row>
    <row r="12" spans="1:6" x14ac:dyDescent="0.3">
      <c r="A12" t="s">
        <v>29</v>
      </c>
      <c r="B12" t="s">
        <v>30</v>
      </c>
      <c r="C12" t="s">
        <v>28</v>
      </c>
      <c r="D12" t="s">
        <v>109</v>
      </c>
      <c r="E12">
        <v>44</v>
      </c>
      <c r="F12">
        <v>48.4</v>
      </c>
    </row>
    <row r="13" spans="1:6" x14ac:dyDescent="0.3">
      <c r="A13" t="s">
        <v>31</v>
      </c>
      <c r="B13" t="s">
        <v>32</v>
      </c>
      <c r="C13" t="s">
        <v>28</v>
      </c>
      <c r="D13" t="s">
        <v>9</v>
      </c>
      <c r="E13">
        <v>73</v>
      </c>
      <c r="F13">
        <v>94.17</v>
      </c>
    </row>
    <row r="14" spans="1:6" x14ac:dyDescent="0.3">
      <c r="A14" t="s">
        <v>33</v>
      </c>
      <c r="B14" t="s">
        <v>34</v>
      </c>
      <c r="C14" t="s">
        <v>28</v>
      </c>
      <c r="D14" t="s">
        <v>9</v>
      </c>
      <c r="E14">
        <v>112</v>
      </c>
      <c r="F14">
        <v>122.08</v>
      </c>
    </row>
    <row r="15" spans="1:6" x14ac:dyDescent="0.3">
      <c r="A15" t="s">
        <v>35</v>
      </c>
      <c r="B15" t="s">
        <v>36</v>
      </c>
      <c r="C15" t="s">
        <v>28</v>
      </c>
      <c r="D15" t="s">
        <v>9</v>
      </c>
      <c r="E15">
        <v>112</v>
      </c>
      <c r="F15">
        <v>146.72</v>
      </c>
    </row>
    <row r="16" spans="1:6" x14ac:dyDescent="0.3">
      <c r="A16" t="s">
        <v>37</v>
      </c>
      <c r="B16" t="s">
        <v>38</v>
      </c>
      <c r="C16" t="s">
        <v>28</v>
      </c>
      <c r="D16" t="s">
        <v>111</v>
      </c>
      <c r="E16">
        <v>12</v>
      </c>
      <c r="F16">
        <v>15.719999999999999</v>
      </c>
    </row>
    <row r="17" spans="1:6" x14ac:dyDescent="0.3">
      <c r="A17" t="s">
        <v>39</v>
      </c>
      <c r="B17" t="s">
        <v>40</v>
      </c>
      <c r="C17" t="s">
        <v>28</v>
      </c>
      <c r="D17" t="s">
        <v>111</v>
      </c>
      <c r="E17">
        <v>13</v>
      </c>
      <c r="F17">
        <v>16.64</v>
      </c>
    </row>
    <row r="18" spans="1:6" x14ac:dyDescent="0.3">
      <c r="A18" t="s">
        <v>41</v>
      </c>
      <c r="B18" t="s">
        <v>42</v>
      </c>
      <c r="C18" t="s">
        <v>28</v>
      </c>
      <c r="D18" t="s">
        <v>110</v>
      </c>
      <c r="E18">
        <v>134</v>
      </c>
      <c r="F18">
        <v>156.78</v>
      </c>
    </row>
    <row r="19" spans="1:6" x14ac:dyDescent="0.3">
      <c r="A19" t="s">
        <v>43</v>
      </c>
      <c r="B19" t="s">
        <v>44</v>
      </c>
      <c r="C19" t="s">
        <v>28</v>
      </c>
      <c r="D19" t="s">
        <v>111</v>
      </c>
      <c r="E19">
        <v>37</v>
      </c>
      <c r="F19">
        <v>49.21</v>
      </c>
    </row>
    <row r="20" spans="1:6" x14ac:dyDescent="0.3">
      <c r="A20" t="s">
        <v>45</v>
      </c>
      <c r="B20" t="s">
        <v>46</v>
      </c>
      <c r="C20" t="s">
        <v>28</v>
      </c>
      <c r="D20" t="s">
        <v>110</v>
      </c>
      <c r="E20">
        <v>150</v>
      </c>
      <c r="F20">
        <v>210</v>
      </c>
    </row>
    <row r="21" spans="1:6" x14ac:dyDescent="0.3">
      <c r="A21" t="s">
        <v>47</v>
      </c>
      <c r="B21" t="s">
        <v>48</v>
      </c>
      <c r="C21" t="s">
        <v>49</v>
      </c>
      <c r="D21" t="s">
        <v>109</v>
      </c>
      <c r="E21">
        <v>61</v>
      </c>
      <c r="F21">
        <v>76.25</v>
      </c>
    </row>
    <row r="22" spans="1:6" x14ac:dyDescent="0.3">
      <c r="A22" t="s">
        <v>50</v>
      </c>
      <c r="B22" t="s">
        <v>51</v>
      </c>
      <c r="C22" t="s">
        <v>49</v>
      </c>
      <c r="D22" t="s">
        <v>110</v>
      </c>
      <c r="E22">
        <v>126</v>
      </c>
      <c r="F22">
        <v>162.54</v>
      </c>
    </row>
    <row r="23" spans="1:6" x14ac:dyDescent="0.3">
      <c r="A23" t="s">
        <v>52</v>
      </c>
      <c r="B23" t="s">
        <v>53</v>
      </c>
      <c r="C23" t="s">
        <v>49</v>
      </c>
      <c r="D23" t="s">
        <v>110</v>
      </c>
      <c r="E23">
        <v>121</v>
      </c>
      <c r="F23">
        <v>141.57</v>
      </c>
    </row>
    <row r="24" spans="1:6" x14ac:dyDescent="0.3">
      <c r="A24" t="s">
        <v>54</v>
      </c>
      <c r="B24" t="s">
        <v>55</v>
      </c>
      <c r="C24" t="s">
        <v>49</v>
      </c>
      <c r="D24" t="s">
        <v>110</v>
      </c>
      <c r="E24">
        <v>141</v>
      </c>
      <c r="F24">
        <v>149.46</v>
      </c>
    </row>
    <row r="25" spans="1:6" x14ac:dyDescent="0.3">
      <c r="A25" t="s">
        <v>56</v>
      </c>
      <c r="B25" t="s">
        <v>57</v>
      </c>
      <c r="C25" t="s">
        <v>49</v>
      </c>
      <c r="D25" t="s">
        <v>110</v>
      </c>
      <c r="E25">
        <v>144</v>
      </c>
      <c r="F25">
        <v>156.96</v>
      </c>
    </row>
    <row r="26" spans="1:6" x14ac:dyDescent="0.3">
      <c r="A26" t="s">
        <v>58</v>
      </c>
      <c r="B26" t="s">
        <v>59</v>
      </c>
      <c r="C26" t="s">
        <v>49</v>
      </c>
      <c r="D26" t="s">
        <v>111</v>
      </c>
      <c r="E26">
        <v>7</v>
      </c>
      <c r="F26">
        <v>8.33</v>
      </c>
    </row>
    <row r="27" spans="1:6" x14ac:dyDescent="0.3">
      <c r="A27" t="s">
        <v>60</v>
      </c>
      <c r="B27" t="s">
        <v>61</v>
      </c>
      <c r="C27" t="s">
        <v>62</v>
      </c>
      <c r="D27" t="s">
        <v>111</v>
      </c>
      <c r="E27">
        <v>18</v>
      </c>
      <c r="F27">
        <v>24.66</v>
      </c>
    </row>
    <row r="28" spans="1:6" x14ac:dyDescent="0.3">
      <c r="A28" t="s">
        <v>63</v>
      </c>
      <c r="B28" t="s">
        <v>64</v>
      </c>
      <c r="C28" t="s">
        <v>62</v>
      </c>
      <c r="D28" t="s">
        <v>109</v>
      </c>
      <c r="E28">
        <v>48</v>
      </c>
      <c r="F28">
        <v>57.120000000000005</v>
      </c>
    </row>
    <row r="29" spans="1:6" x14ac:dyDescent="0.3">
      <c r="A29" t="s">
        <v>65</v>
      </c>
      <c r="B29" t="s">
        <v>66</v>
      </c>
      <c r="C29" t="s">
        <v>62</v>
      </c>
      <c r="D29" t="s">
        <v>111</v>
      </c>
      <c r="E29">
        <v>37</v>
      </c>
      <c r="F29">
        <v>41.81</v>
      </c>
    </row>
    <row r="30" spans="1:6" x14ac:dyDescent="0.3">
      <c r="A30" t="s">
        <v>67</v>
      </c>
      <c r="B30" t="s">
        <v>68</v>
      </c>
      <c r="C30" t="s">
        <v>62</v>
      </c>
      <c r="D30" t="s">
        <v>109</v>
      </c>
      <c r="E30">
        <v>47</v>
      </c>
      <c r="F30">
        <v>53.11</v>
      </c>
    </row>
    <row r="31" spans="1:6" x14ac:dyDescent="0.3">
      <c r="A31" t="s">
        <v>69</v>
      </c>
      <c r="B31" t="s">
        <v>70</v>
      </c>
      <c r="C31" t="s">
        <v>62</v>
      </c>
      <c r="D31" t="s">
        <v>110</v>
      </c>
      <c r="E31">
        <v>148</v>
      </c>
      <c r="F31">
        <v>201.28</v>
      </c>
    </row>
    <row r="32" spans="1:6" x14ac:dyDescent="0.3">
      <c r="A32" t="s">
        <v>71</v>
      </c>
      <c r="B32" t="s">
        <v>72</v>
      </c>
      <c r="C32" t="s">
        <v>62</v>
      </c>
      <c r="D32" t="s">
        <v>9</v>
      </c>
      <c r="E32">
        <v>93</v>
      </c>
      <c r="F32">
        <v>104.16</v>
      </c>
    </row>
    <row r="33" spans="1:6" x14ac:dyDescent="0.3">
      <c r="A33" t="s">
        <v>73</v>
      </c>
      <c r="B33" t="s">
        <v>74</v>
      </c>
      <c r="C33" t="s">
        <v>62</v>
      </c>
      <c r="D33" t="s">
        <v>9</v>
      </c>
      <c r="E33">
        <v>89</v>
      </c>
      <c r="F33">
        <v>117.48</v>
      </c>
    </row>
    <row r="34" spans="1:6" x14ac:dyDescent="0.3">
      <c r="A34" t="s">
        <v>75</v>
      </c>
      <c r="B34" t="s">
        <v>76</v>
      </c>
      <c r="C34" t="s">
        <v>62</v>
      </c>
      <c r="D34" t="s">
        <v>9</v>
      </c>
      <c r="E34">
        <v>95</v>
      </c>
      <c r="F34">
        <v>119.7</v>
      </c>
    </row>
    <row r="35" spans="1:6" x14ac:dyDescent="0.3">
      <c r="A35" t="s">
        <v>77</v>
      </c>
      <c r="B35" t="s">
        <v>78</v>
      </c>
      <c r="C35" t="s">
        <v>62</v>
      </c>
      <c r="D35" t="s">
        <v>109</v>
      </c>
      <c r="E35">
        <v>55</v>
      </c>
      <c r="F35">
        <v>58.3</v>
      </c>
    </row>
    <row r="36" spans="1:6" x14ac:dyDescent="0.3">
      <c r="A36" t="s">
        <v>79</v>
      </c>
      <c r="B36" t="s">
        <v>80</v>
      </c>
      <c r="C36" t="s">
        <v>62</v>
      </c>
      <c r="D36" t="s">
        <v>111</v>
      </c>
      <c r="E36">
        <v>5</v>
      </c>
      <c r="F36">
        <v>6.7</v>
      </c>
    </row>
    <row r="37" spans="1:6" x14ac:dyDescent="0.3">
      <c r="A37" t="s">
        <v>81</v>
      </c>
      <c r="B37" t="s">
        <v>82</v>
      </c>
      <c r="C37" t="s">
        <v>62</v>
      </c>
      <c r="D37" t="s">
        <v>9</v>
      </c>
      <c r="E37">
        <v>90</v>
      </c>
      <c r="F37">
        <v>96.3</v>
      </c>
    </row>
    <row r="38" spans="1:6" x14ac:dyDescent="0.3">
      <c r="A38" t="s">
        <v>83</v>
      </c>
      <c r="B38" t="s">
        <v>84</v>
      </c>
      <c r="C38" t="s">
        <v>85</v>
      </c>
      <c r="D38" t="s">
        <v>9</v>
      </c>
      <c r="E38">
        <v>67</v>
      </c>
      <c r="F38">
        <v>85.76</v>
      </c>
    </row>
    <row r="39" spans="1:6" x14ac:dyDescent="0.3">
      <c r="A39" t="s">
        <v>86</v>
      </c>
      <c r="B39" t="s">
        <v>87</v>
      </c>
      <c r="C39" t="s">
        <v>85</v>
      </c>
      <c r="D39" t="s">
        <v>9</v>
      </c>
      <c r="E39">
        <v>72</v>
      </c>
      <c r="F39">
        <v>79.92</v>
      </c>
    </row>
    <row r="40" spans="1:6" x14ac:dyDescent="0.3">
      <c r="A40" t="s">
        <v>88</v>
      </c>
      <c r="B40" t="s">
        <v>89</v>
      </c>
      <c r="C40" t="s">
        <v>85</v>
      </c>
      <c r="D40" t="s">
        <v>111</v>
      </c>
      <c r="E40">
        <v>37</v>
      </c>
      <c r="F40">
        <v>42.55</v>
      </c>
    </row>
    <row r="41" spans="1:6" x14ac:dyDescent="0.3">
      <c r="A41" t="s">
        <v>90</v>
      </c>
      <c r="B41" t="s">
        <v>91</v>
      </c>
      <c r="C41" t="s">
        <v>85</v>
      </c>
      <c r="D41" t="s">
        <v>9</v>
      </c>
      <c r="E41">
        <v>90</v>
      </c>
      <c r="F41">
        <v>115.2</v>
      </c>
    </row>
    <row r="42" spans="1:6" x14ac:dyDescent="0.3">
      <c r="A42" t="s">
        <v>92</v>
      </c>
      <c r="B42" t="s">
        <v>93</v>
      </c>
      <c r="C42" t="s">
        <v>85</v>
      </c>
      <c r="D42" t="s">
        <v>110</v>
      </c>
      <c r="E42">
        <v>138</v>
      </c>
      <c r="F42">
        <v>173.88</v>
      </c>
    </row>
    <row r="43" spans="1:6" x14ac:dyDescent="0.3">
      <c r="A43" t="s">
        <v>94</v>
      </c>
      <c r="B43" t="s">
        <v>95</v>
      </c>
      <c r="C43" t="s">
        <v>85</v>
      </c>
      <c r="D43" t="s">
        <v>110</v>
      </c>
      <c r="E43">
        <v>120</v>
      </c>
      <c r="F43">
        <v>162</v>
      </c>
    </row>
    <row r="44" spans="1:6" x14ac:dyDescent="0.3">
      <c r="A44" t="s">
        <v>96</v>
      </c>
      <c r="B44" t="s">
        <v>97</v>
      </c>
      <c r="C44" t="s">
        <v>85</v>
      </c>
      <c r="D44" t="s">
        <v>9</v>
      </c>
      <c r="E44">
        <v>67</v>
      </c>
      <c r="F44">
        <v>83.08</v>
      </c>
    </row>
    <row r="45" spans="1:6" x14ac:dyDescent="0.3">
      <c r="A45" t="s">
        <v>98</v>
      </c>
      <c r="B45" t="s">
        <v>99</v>
      </c>
      <c r="C45" t="s">
        <v>85</v>
      </c>
      <c r="D45" t="s">
        <v>9</v>
      </c>
      <c r="E45">
        <v>76</v>
      </c>
      <c r="F45">
        <v>82.08</v>
      </c>
    </row>
    <row r="46" spans="1:6" x14ac:dyDescent="0.3">
      <c r="A46" t="s">
        <v>112</v>
      </c>
      <c r="B46" t="s">
        <v>113</v>
      </c>
      <c r="C46" t="s">
        <v>85</v>
      </c>
      <c r="D46" t="s">
        <v>9</v>
      </c>
      <c r="E46">
        <v>50</v>
      </c>
      <c r="F46">
        <v>62</v>
      </c>
    </row>
  </sheetData>
  <dataValidations count="2">
    <dataValidation type="list" allowBlank="1" showInputMessage="1" showErrorMessage="1" sqref="C2:C46" xr:uid="{DD3653ED-5F3C-43AF-A846-04E57B65CB7D}">
      <formula1>"Category01,Category02,Category03,Category04,Category05"</formula1>
    </dataValidation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 (2)</vt:lpstr>
      <vt:lpstr>Input Data</vt:lpstr>
      <vt:lpstr>Input_data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biradar</cp:lastModifiedBy>
  <dcterms:created xsi:type="dcterms:W3CDTF">2021-11-03T11:40:02Z</dcterms:created>
  <dcterms:modified xsi:type="dcterms:W3CDTF">2025-11-17T06:22:07Z</dcterms:modified>
</cp:coreProperties>
</file>